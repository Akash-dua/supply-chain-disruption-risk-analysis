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5975" windowHeight="7365"/>
  </bookViews>
  <sheets>
    <sheet name="pivot table" sheetId="3" r:id="rId1"/>
    <sheet name="Raw Data" sheetId="1" r:id="rId2"/>
    <sheet name="Solution" sheetId="2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S63" i="2" l="1"/>
  <c r="R63" i="2"/>
  <c r="P63" i="2"/>
  <c r="O63" i="2"/>
  <c r="N63" i="2"/>
  <c r="S62" i="2"/>
  <c r="R62" i="2"/>
  <c r="P62" i="2"/>
  <c r="N62" i="2"/>
  <c r="O62" i="2" s="1"/>
  <c r="R61" i="2"/>
  <c r="P61" i="2"/>
  <c r="O61" i="2"/>
  <c r="N61" i="2"/>
  <c r="S60" i="2"/>
  <c r="R60" i="2"/>
  <c r="P60" i="2"/>
  <c r="N60" i="2"/>
  <c r="O60" i="2" s="1"/>
  <c r="R59" i="2"/>
  <c r="P59" i="2"/>
  <c r="O59" i="2"/>
  <c r="N59" i="2"/>
  <c r="S58" i="2"/>
  <c r="R58" i="2"/>
  <c r="P58" i="2"/>
  <c r="N58" i="2"/>
  <c r="O58" i="2" s="1"/>
  <c r="R57" i="2"/>
  <c r="P57" i="2"/>
  <c r="O57" i="2"/>
  <c r="N57" i="2"/>
  <c r="R56" i="2"/>
  <c r="P56" i="2"/>
  <c r="N56" i="2"/>
  <c r="O56" i="2" s="1"/>
  <c r="R55" i="2"/>
  <c r="P55" i="2"/>
  <c r="O55" i="2"/>
  <c r="N55" i="2"/>
  <c r="S54" i="2"/>
  <c r="R54" i="2"/>
  <c r="P54" i="2"/>
  <c r="N54" i="2"/>
  <c r="O54" i="2" s="1"/>
  <c r="R53" i="2"/>
  <c r="P53" i="2"/>
  <c r="O53" i="2"/>
  <c r="N53" i="2"/>
  <c r="S52" i="2"/>
  <c r="R52" i="2"/>
  <c r="P52" i="2"/>
  <c r="N52" i="2"/>
  <c r="O52" i="2" s="1"/>
  <c r="R51" i="2"/>
  <c r="P51" i="2"/>
  <c r="O51" i="2"/>
  <c r="N51" i="2"/>
  <c r="S50" i="2"/>
  <c r="R50" i="2"/>
  <c r="P50" i="2"/>
  <c r="N50" i="2"/>
  <c r="O50" i="2" s="1"/>
  <c r="R49" i="2"/>
  <c r="P49" i="2"/>
  <c r="O49" i="2"/>
  <c r="N49" i="2"/>
  <c r="S48" i="2"/>
  <c r="R48" i="2"/>
  <c r="P48" i="2"/>
  <c r="N48" i="2"/>
  <c r="O48" i="2" s="1"/>
  <c r="R47" i="2"/>
  <c r="P47" i="2"/>
  <c r="O47" i="2"/>
  <c r="N47" i="2"/>
  <c r="S46" i="2"/>
  <c r="R46" i="2"/>
  <c r="P46" i="2"/>
  <c r="N46" i="2"/>
  <c r="O46" i="2" s="1"/>
  <c r="R45" i="2"/>
  <c r="P45" i="2"/>
  <c r="O45" i="2"/>
  <c r="N45" i="2"/>
  <c r="S44" i="2"/>
  <c r="R44" i="2"/>
  <c r="P44" i="2"/>
  <c r="N44" i="2"/>
  <c r="O44" i="2" s="1"/>
  <c r="R43" i="2"/>
  <c r="P43" i="2"/>
  <c r="O43" i="2"/>
  <c r="N43" i="2"/>
  <c r="S42" i="2"/>
  <c r="R42" i="2"/>
  <c r="P42" i="2"/>
  <c r="N42" i="2"/>
  <c r="O42" i="2" s="1"/>
  <c r="R41" i="2"/>
  <c r="P41" i="2"/>
  <c r="O41" i="2"/>
  <c r="N41" i="2"/>
  <c r="S40" i="2"/>
  <c r="R40" i="2"/>
  <c r="P40" i="2"/>
  <c r="N40" i="2"/>
  <c r="O40" i="2" s="1"/>
  <c r="R39" i="2"/>
  <c r="P39" i="2"/>
  <c r="O39" i="2"/>
  <c r="N39" i="2"/>
  <c r="S38" i="2"/>
  <c r="R38" i="2"/>
  <c r="P38" i="2"/>
  <c r="N38" i="2"/>
  <c r="O38" i="2" s="1"/>
  <c r="R37" i="2"/>
  <c r="P37" i="2"/>
  <c r="O37" i="2"/>
  <c r="N37" i="2"/>
  <c r="S36" i="2"/>
  <c r="R36" i="2"/>
  <c r="P36" i="2"/>
  <c r="N36" i="2"/>
  <c r="O36" i="2" s="1"/>
  <c r="R35" i="2"/>
  <c r="P35" i="2"/>
  <c r="O35" i="2"/>
  <c r="N35" i="2"/>
  <c r="S34" i="2"/>
  <c r="R34" i="2"/>
  <c r="P34" i="2"/>
  <c r="N34" i="2"/>
  <c r="O34" i="2" s="1"/>
  <c r="R33" i="2"/>
  <c r="P33" i="2"/>
  <c r="O33" i="2"/>
  <c r="N33" i="2"/>
  <c r="S32" i="2"/>
  <c r="R32" i="2"/>
  <c r="P32" i="2"/>
  <c r="N32" i="2"/>
  <c r="O32" i="2" s="1"/>
  <c r="R31" i="2"/>
  <c r="P31" i="2"/>
  <c r="O31" i="2"/>
  <c r="N31" i="2"/>
  <c r="S30" i="2"/>
  <c r="R30" i="2"/>
  <c r="P30" i="2"/>
  <c r="N30" i="2"/>
  <c r="O30" i="2" s="1"/>
  <c r="R29" i="2"/>
  <c r="P29" i="2"/>
  <c r="O29" i="2"/>
  <c r="N29" i="2"/>
  <c r="S28" i="2"/>
  <c r="R28" i="2"/>
  <c r="P28" i="2"/>
  <c r="N28" i="2"/>
  <c r="O28" i="2" s="1"/>
  <c r="R27" i="2"/>
  <c r="P27" i="2"/>
  <c r="O27" i="2"/>
  <c r="N27" i="2"/>
  <c r="S26" i="2"/>
  <c r="R26" i="2"/>
  <c r="P26" i="2"/>
  <c r="N26" i="2"/>
  <c r="O26" i="2" s="1"/>
  <c r="R25" i="2"/>
  <c r="P25" i="2"/>
  <c r="O25" i="2"/>
  <c r="N25" i="2"/>
  <c r="S24" i="2"/>
  <c r="R24" i="2"/>
  <c r="P24" i="2"/>
  <c r="N24" i="2"/>
  <c r="O24" i="2" s="1"/>
  <c r="R23" i="2"/>
  <c r="P23" i="2"/>
  <c r="O23" i="2"/>
  <c r="N23" i="2"/>
  <c r="S22" i="2"/>
  <c r="R22" i="2"/>
  <c r="P22" i="2"/>
  <c r="N22" i="2"/>
  <c r="O22" i="2" s="1"/>
  <c r="R21" i="2"/>
  <c r="Q21" i="2"/>
  <c r="T21" i="2" s="1"/>
  <c r="P21" i="2"/>
  <c r="O21" i="2"/>
  <c r="N21" i="2"/>
  <c r="R20" i="2"/>
  <c r="Q20" i="2"/>
  <c r="T20" i="2" s="1"/>
  <c r="P20" i="2"/>
  <c r="O20" i="2"/>
  <c r="N20" i="2"/>
  <c r="U19" i="2"/>
  <c r="R19" i="2"/>
  <c r="Q19" i="2"/>
  <c r="T19" i="2" s="1"/>
  <c r="P19" i="2"/>
  <c r="S19" i="2" s="1"/>
  <c r="O19" i="2"/>
  <c r="N19" i="2"/>
  <c r="U18" i="2"/>
  <c r="R18" i="2"/>
  <c r="Q18" i="2"/>
  <c r="T18" i="2" s="1"/>
  <c r="P18" i="2"/>
  <c r="O18" i="2"/>
  <c r="N18" i="2"/>
  <c r="U17" i="2"/>
  <c r="R17" i="2"/>
  <c r="Q17" i="2"/>
  <c r="T17" i="2" s="1"/>
  <c r="P17" i="2"/>
  <c r="S17" i="2" s="1"/>
  <c r="O17" i="2"/>
  <c r="N17" i="2"/>
  <c r="R16" i="2"/>
  <c r="Q16" i="2"/>
  <c r="T16" i="2" s="1"/>
  <c r="P16" i="2"/>
  <c r="S16" i="2" s="1"/>
  <c r="O16" i="2"/>
  <c r="N16" i="2"/>
  <c r="U15" i="2"/>
  <c r="R15" i="2"/>
  <c r="Q15" i="2"/>
  <c r="T15" i="2" s="1"/>
  <c r="P15" i="2"/>
  <c r="S15" i="2" s="1"/>
  <c r="O15" i="2"/>
  <c r="N15" i="2"/>
  <c r="R14" i="2"/>
  <c r="Q14" i="2"/>
  <c r="T14" i="2" s="1"/>
  <c r="P14" i="2"/>
  <c r="O14" i="2"/>
  <c r="N14" i="2"/>
  <c r="U13" i="2"/>
  <c r="R13" i="2"/>
  <c r="Q13" i="2"/>
  <c r="T13" i="2" s="1"/>
  <c r="P13" i="2"/>
  <c r="S13" i="2" s="1"/>
  <c r="O13" i="2"/>
  <c r="N13" i="2"/>
  <c r="R12" i="2"/>
  <c r="Q12" i="2"/>
  <c r="T12" i="2" s="1"/>
  <c r="P12" i="2"/>
  <c r="S12" i="2" s="1"/>
  <c r="O12" i="2"/>
  <c r="N12" i="2"/>
  <c r="U11" i="2"/>
  <c r="R11" i="2"/>
  <c r="Q11" i="2"/>
  <c r="T11" i="2" s="1"/>
  <c r="P11" i="2"/>
  <c r="S11" i="2" s="1"/>
  <c r="O11" i="2"/>
  <c r="N11" i="2"/>
  <c r="U10" i="2"/>
  <c r="R10" i="2"/>
  <c r="Q10" i="2"/>
  <c r="T10" i="2" s="1"/>
  <c r="P10" i="2"/>
  <c r="S10" i="2" s="1"/>
  <c r="O10" i="2"/>
  <c r="N10" i="2"/>
  <c r="U9" i="2"/>
  <c r="R9" i="2"/>
  <c r="Q9" i="2"/>
  <c r="T9" i="2" s="1"/>
  <c r="P9" i="2"/>
  <c r="O9" i="2"/>
  <c r="N9" i="2"/>
  <c r="R8" i="2"/>
  <c r="Q8" i="2"/>
  <c r="T8" i="2" s="1"/>
  <c r="P8" i="2"/>
  <c r="S8" i="2" s="1"/>
  <c r="O8" i="2"/>
  <c r="N8" i="2"/>
  <c r="U7" i="2"/>
  <c r="R7" i="2"/>
  <c r="Q7" i="2"/>
  <c r="T7" i="2" s="1"/>
  <c r="P7" i="2"/>
  <c r="S7" i="2" s="1"/>
  <c r="O7" i="2"/>
  <c r="N7" i="2"/>
  <c r="R6" i="2"/>
  <c r="Q6" i="2"/>
  <c r="T6" i="2" s="1"/>
  <c r="P6" i="2"/>
  <c r="S6" i="2" s="1"/>
  <c r="O6" i="2"/>
  <c r="N6" i="2"/>
  <c r="U5" i="2"/>
  <c r="R5" i="2"/>
  <c r="Q5" i="2"/>
  <c r="T5" i="2" s="1"/>
  <c r="P5" i="2"/>
  <c r="S51" i="2" s="1"/>
  <c r="O5" i="2"/>
  <c r="N5" i="2"/>
  <c r="R4" i="2"/>
  <c r="Q4" i="2"/>
  <c r="T4" i="2" s="1"/>
  <c r="P4" i="2"/>
  <c r="S55" i="2" s="1"/>
  <c r="O4" i="2"/>
  <c r="N4" i="2"/>
  <c r="U3" i="2"/>
  <c r="R3" i="2"/>
  <c r="Q3" i="2"/>
  <c r="T3" i="2" s="1"/>
  <c r="P3" i="2"/>
  <c r="S18" i="2" s="1"/>
  <c r="O3" i="2"/>
  <c r="N3" i="2"/>
  <c r="R2" i="2"/>
  <c r="Q2" i="2"/>
  <c r="T2" i="2" s="1"/>
  <c r="P2" i="2"/>
  <c r="S43" i="2" s="1"/>
  <c r="O2" i="2"/>
  <c r="N2" i="2"/>
  <c r="R63" i="1"/>
  <c r="P63" i="1"/>
  <c r="S63" i="1" s="1"/>
  <c r="N63" i="1"/>
  <c r="O63" i="1" s="1"/>
  <c r="R62" i="1"/>
  <c r="P62" i="1"/>
  <c r="S62" i="1" s="1"/>
  <c r="O62" i="1"/>
  <c r="N62" i="1"/>
  <c r="R61" i="1"/>
  <c r="P61" i="1"/>
  <c r="S61" i="1" s="1"/>
  <c r="O61" i="1"/>
  <c r="N61" i="1"/>
  <c r="R60" i="1"/>
  <c r="P60" i="1"/>
  <c r="S60" i="1" s="1"/>
  <c r="N60" i="1"/>
  <c r="O60" i="1" s="1"/>
  <c r="R59" i="1"/>
  <c r="P59" i="1"/>
  <c r="S59" i="1" s="1"/>
  <c r="N59" i="1"/>
  <c r="O59" i="1" s="1"/>
  <c r="R58" i="1"/>
  <c r="P58" i="1"/>
  <c r="S58" i="1" s="1"/>
  <c r="N58" i="1"/>
  <c r="O58" i="1" s="1"/>
  <c r="R57" i="1"/>
  <c r="P57" i="1"/>
  <c r="S57" i="1" s="1"/>
  <c r="N57" i="1"/>
  <c r="O57" i="1" s="1"/>
  <c r="R56" i="1"/>
  <c r="P56" i="1"/>
  <c r="Q56" i="1" s="1"/>
  <c r="T56" i="1" s="1"/>
  <c r="O56" i="1"/>
  <c r="N56" i="1"/>
  <c r="R55" i="1"/>
  <c r="Q55" i="1"/>
  <c r="T55" i="1" s="1"/>
  <c r="P55" i="1"/>
  <c r="N55" i="1"/>
  <c r="O55" i="1" s="1"/>
  <c r="R54" i="1"/>
  <c r="P54" i="1"/>
  <c r="S54" i="1" s="1"/>
  <c r="N54" i="1"/>
  <c r="O54" i="1" s="1"/>
  <c r="R53" i="1"/>
  <c r="P53" i="1"/>
  <c r="S53" i="1" s="1"/>
  <c r="N53" i="1"/>
  <c r="O53" i="1" s="1"/>
  <c r="R52" i="1"/>
  <c r="P52" i="1"/>
  <c r="S52" i="1" s="1"/>
  <c r="N52" i="1"/>
  <c r="O52" i="1" s="1"/>
  <c r="R51" i="1"/>
  <c r="P51" i="1"/>
  <c r="Q51" i="1" s="1"/>
  <c r="T51" i="1" s="1"/>
  <c r="N51" i="1"/>
  <c r="O51" i="1" s="1"/>
  <c r="R50" i="1"/>
  <c r="Q50" i="1"/>
  <c r="T50" i="1" s="1"/>
  <c r="P50" i="1"/>
  <c r="S50" i="1" s="1"/>
  <c r="N50" i="1"/>
  <c r="O50" i="1" s="1"/>
  <c r="R49" i="1"/>
  <c r="Q49" i="1"/>
  <c r="T49" i="1" s="1"/>
  <c r="P49" i="1"/>
  <c r="S49" i="1" s="1"/>
  <c r="N49" i="1"/>
  <c r="O49" i="1" s="1"/>
  <c r="R48" i="1"/>
  <c r="P48" i="1"/>
  <c r="S48" i="1" s="1"/>
  <c r="N48" i="1"/>
  <c r="O48" i="1" s="1"/>
  <c r="R47" i="1"/>
  <c r="P47" i="1"/>
  <c r="S47" i="1" s="1"/>
  <c r="N47" i="1"/>
  <c r="O47" i="1" s="1"/>
  <c r="R46" i="1"/>
  <c r="P46" i="1"/>
  <c r="S46" i="1" s="1"/>
  <c r="N46" i="1"/>
  <c r="O46" i="1" s="1"/>
  <c r="R45" i="1"/>
  <c r="P45" i="1"/>
  <c r="S45" i="1" s="1"/>
  <c r="N45" i="1"/>
  <c r="O45" i="1" s="1"/>
  <c r="R44" i="1"/>
  <c r="P44" i="1"/>
  <c r="S44" i="1" s="1"/>
  <c r="N44" i="1"/>
  <c r="O44" i="1" s="1"/>
  <c r="R43" i="1"/>
  <c r="P43" i="1"/>
  <c r="N43" i="1"/>
  <c r="O43" i="1" s="1"/>
  <c r="R42" i="1"/>
  <c r="P42" i="1"/>
  <c r="S42" i="1" s="1"/>
  <c r="N42" i="1"/>
  <c r="O42" i="1" s="1"/>
  <c r="R41" i="1"/>
  <c r="P41" i="1"/>
  <c r="S41" i="1" s="1"/>
  <c r="N41" i="1"/>
  <c r="O41" i="1" s="1"/>
  <c r="R40" i="1"/>
  <c r="P40" i="1"/>
  <c r="S40" i="1" s="1"/>
  <c r="N40" i="1"/>
  <c r="O40" i="1" s="1"/>
  <c r="R39" i="1"/>
  <c r="P39" i="1"/>
  <c r="S39" i="1" s="1"/>
  <c r="N39" i="1"/>
  <c r="O39" i="1" s="1"/>
  <c r="R38" i="1"/>
  <c r="P38" i="1"/>
  <c r="Q38" i="1" s="1"/>
  <c r="T38" i="1" s="1"/>
  <c r="N38" i="1"/>
  <c r="O38" i="1" s="1"/>
  <c r="R37" i="1"/>
  <c r="P37" i="1"/>
  <c r="S37" i="1" s="1"/>
  <c r="N37" i="1"/>
  <c r="O37" i="1" s="1"/>
  <c r="R36" i="1"/>
  <c r="P36" i="1"/>
  <c r="S36" i="1" s="1"/>
  <c r="N36" i="1"/>
  <c r="O36" i="1" s="1"/>
  <c r="R35" i="1"/>
  <c r="P35" i="1"/>
  <c r="S35" i="1" s="1"/>
  <c r="N35" i="1"/>
  <c r="O35" i="1" s="1"/>
  <c r="R34" i="1"/>
  <c r="P34" i="1"/>
  <c r="S34" i="1" s="1"/>
  <c r="N34" i="1"/>
  <c r="O34" i="1" s="1"/>
  <c r="U33" i="1"/>
  <c r="R33" i="1"/>
  <c r="P33" i="1"/>
  <c r="S33" i="1" s="1"/>
  <c r="N33" i="1"/>
  <c r="O33" i="1" s="1"/>
  <c r="R32" i="1"/>
  <c r="P32" i="1"/>
  <c r="Q32" i="1" s="1"/>
  <c r="T32" i="1" s="1"/>
  <c r="N32" i="1"/>
  <c r="O32" i="1" s="1"/>
  <c r="R31" i="1"/>
  <c r="P31" i="1"/>
  <c r="S31" i="1" s="1"/>
  <c r="N31" i="1"/>
  <c r="O31" i="1" s="1"/>
  <c r="R30" i="1"/>
  <c r="P30" i="1"/>
  <c r="S30" i="1" s="1"/>
  <c r="N30" i="1"/>
  <c r="O30" i="1" s="1"/>
  <c r="R29" i="1"/>
  <c r="P29" i="1"/>
  <c r="S29" i="1" s="1"/>
  <c r="N29" i="1"/>
  <c r="O29" i="1" s="1"/>
  <c r="R28" i="1"/>
  <c r="P28" i="1"/>
  <c r="Q28" i="1" s="1"/>
  <c r="T28" i="1" s="1"/>
  <c r="N28" i="1"/>
  <c r="O28" i="1" s="1"/>
  <c r="R27" i="1"/>
  <c r="P27" i="1"/>
  <c r="S27" i="1" s="1"/>
  <c r="N27" i="1"/>
  <c r="O27" i="1" s="1"/>
  <c r="R26" i="1"/>
  <c r="P26" i="1"/>
  <c r="Q26" i="1" s="1"/>
  <c r="T26" i="1" s="1"/>
  <c r="N26" i="1"/>
  <c r="O26" i="1" s="1"/>
  <c r="R25" i="1"/>
  <c r="P25" i="1"/>
  <c r="S25" i="1" s="1"/>
  <c r="N25" i="1"/>
  <c r="O25" i="1" s="1"/>
  <c r="R24" i="1"/>
  <c r="P24" i="1"/>
  <c r="S24" i="1" s="1"/>
  <c r="N24" i="1"/>
  <c r="O24" i="1" s="1"/>
  <c r="R23" i="1"/>
  <c r="P23" i="1"/>
  <c r="S23" i="1" s="1"/>
  <c r="N23" i="1"/>
  <c r="O23" i="1" s="1"/>
  <c r="R22" i="1"/>
  <c r="P22" i="1"/>
  <c r="S22" i="1" s="1"/>
  <c r="N22" i="1"/>
  <c r="O22" i="1" s="1"/>
  <c r="R21" i="1"/>
  <c r="P21" i="1"/>
  <c r="S21" i="1" s="1"/>
  <c r="N21" i="1"/>
  <c r="O21" i="1" s="1"/>
  <c r="R20" i="1"/>
  <c r="P20" i="1"/>
  <c r="N20" i="1"/>
  <c r="O20" i="1" s="1"/>
  <c r="R19" i="1"/>
  <c r="P19" i="1"/>
  <c r="S19" i="1" s="1"/>
  <c r="N19" i="1"/>
  <c r="O19" i="1" s="1"/>
  <c r="R18" i="1"/>
  <c r="P18" i="1"/>
  <c r="Q18" i="1" s="1"/>
  <c r="T18" i="1" s="1"/>
  <c r="N18" i="1"/>
  <c r="O18" i="1" s="1"/>
  <c r="R17" i="1"/>
  <c r="P17" i="1"/>
  <c r="S17" i="1" s="1"/>
  <c r="N17" i="1"/>
  <c r="O17" i="1" s="1"/>
  <c r="R16" i="1"/>
  <c r="P16" i="1"/>
  <c r="S16" i="1" s="1"/>
  <c r="N16" i="1"/>
  <c r="O16" i="1" s="1"/>
  <c r="R15" i="1"/>
  <c r="P15" i="1"/>
  <c r="S15" i="1" s="1"/>
  <c r="N15" i="1"/>
  <c r="O15" i="1" s="1"/>
  <c r="R14" i="1"/>
  <c r="P14" i="1"/>
  <c r="Q14" i="1" s="1"/>
  <c r="T14" i="1" s="1"/>
  <c r="N14" i="1"/>
  <c r="O14" i="1" s="1"/>
  <c r="R13" i="1"/>
  <c r="P13" i="1"/>
  <c r="S13" i="1" s="1"/>
  <c r="N13" i="1"/>
  <c r="O13" i="1" s="1"/>
  <c r="R12" i="1"/>
  <c r="P12" i="1"/>
  <c r="S12" i="1" s="1"/>
  <c r="N12" i="1"/>
  <c r="O12" i="1" s="1"/>
  <c r="R11" i="1"/>
  <c r="P11" i="1"/>
  <c r="S11" i="1" s="1"/>
  <c r="N11" i="1"/>
  <c r="O11" i="1" s="1"/>
  <c r="R10" i="1"/>
  <c r="P10" i="1"/>
  <c r="S10" i="1" s="1"/>
  <c r="N10" i="1"/>
  <c r="O10" i="1" s="1"/>
  <c r="R9" i="1"/>
  <c r="P9" i="1"/>
  <c r="N9" i="1"/>
  <c r="O9" i="1" s="1"/>
  <c r="R8" i="1"/>
  <c r="P8" i="1"/>
  <c r="S8" i="1" s="1"/>
  <c r="N8" i="1"/>
  <c r="O8" i="1" s="1"/>
  <c r="R7" i="1"/>
  <c r="P7" i="1"/>
  <c r="S7" i="1" s="1"/>
  <c r="N7" i="1"/>
  <c r="O7" i="1" s="1"/>
  <c r="R6" i="1"/>
  <c r="P6" i="1"/>
  <c r="S6" i="1" s="1"/>
  <c r="N6" i="1"/>
  <c r="O6" i="1" s="1"/>
  <c r="R5" i="1"/>
  <c r="P5" i="1"/>
  <c r="Q5" i="1" s="1"/>
  <c r="T5" i="1" s="1"/>
  <c r="N5" i="1"/>
  <c r="O5" i="1" s="1"/>
  <c r="R4" i="1"/>
  <c r="P4" i="1"/>
  <c r="Q4" i="1" s="1"/>
  <c r="T4" i="1" s="1"/>
  <c r="N4" i="1"/>
  <c r="O4" i="1" s="1"/>
  <c r="R3" i="1"/>
  <c r="P3" i="1"/>
  <c r="Q3" i="1" s="1"/>
  <c r="T3" i="1" s="1"/>
  <c r="N3" i="1"/>
  <c r="O3" i="1" s="1"/>
  <c r="R2" i="1"/>
  <c r="P2" i="1"/>
  <c r="N2" i="1"/>
  <c r="O2" i="1" s="1"/>
  <c r="V49" i="1" l="1"/>
  <c r="V5" i="1"/>
  <c r="V28" i="1"/>
  <c r="V4" i="1"/>
  <c r="V55" i="1"/>
  <c r="V51" i="1"/>
  <c r="V3" i="1"/>
  <c r="V50" i="1"/>
  <c r="V38" i="1"/>
  <c r="V26" i="1"/>
  <c r="V18" i="1"/>
  <c r="V14" i="1"/>
  <c r="S2" i="1"/>
  <c r="Q33" i="1"/>
  <c r="Q42" i="1"/>
  <c r="Q19" i="1"/>
  <c r="Q22" i="1"/>
  <c r="Q13" i="1"/>
  <c r="Q30" i="1"/>
  <c r="Q11" i="1"/>
  <c r="U29" i="1"/>
  <c r="Q37" i="1"/>
  <c r="Q57" i="1"/>
  <c r="U61" i="1"/>
  <c r="Q62" i="1"/>
  <c r="Q21" i="1"/>
  <c r="Q34" i="1"/>
  <c r="Q41" i="1"/>
  <c r="Q59" i="1"/>
  <c r="V59" i="1" s="1"/>
  <c r="Q25" i="1"/>
  <c r="Q29" i="1"/>
  <c r="U37" i="1"/>
  <c r="U57" i="1"/>
  <c r="U21" i="1"/>
  <c r="Q7" i="1"/>
  <c r="Q17" i="1"/>
  <c r="Q24" i="1"/>
  <c r="Q27" i="1"/>
  <c r="Q35" i="1"/>
  <c r="U39" i="1"/>
  <c r="Q40" i="1"/>
  <c r="Q43" i="1"/>
  <c r="T43" i="1" s="1"/>
  <c r="U44" i="1"/>
  <c r="Q45" i="1"/>
  <c r="U46" i="1"/>
  <c r="Q47" i="1"/>
  <c r="U51" i="1"/>
  <c r="Q52" i="1"/>
  <c r="Q54" i="1"/>
  <c r="U58" i="1"/>
  <c r="U49" i="1"/>
  <c r="Q9" i="1"/>
  <c r="T9" i="1" s="1"/>
  <c r="Q15" i="1"/>
  <c r="Q23" i="1"/>
  <c r="U27" i="1"/>
  <c r="Q31" i="1"/>
  <c r="Q36" i="1"/>
  <c r="Q39" i="1"/>
  <c r="Q44" i="1"/>
  <c r="U45" i="1"/>
  <c r="Q46" i="1"/>
  <c r="U47" i="1"/>
  <c r="Q48" i="1"/>
  <c r="U52" i="1"/>
  <c r="Q53" i="1"/>
  <c r="Q58" i="1"/>
  <c r="Q60" i="1"/>
  <c r="Q63" i="1"/>
  <c r="U25" i="1"/>
  <c r="U55" i="1"/>
  <c r="Q61" i="1"/>
  <c r="S18" i="1"/>
  <c r="S3" i="1"/>
  <c r="U3" i="1"/>
  <c r="Q8" i="1"/>
  <c r="U11" i="1"/>
  <c r="Q12" i="1"/>
  <c r="U15" i="1"/>
  <c r="Q16" i="1"/>
  <c r="U19" i="1"/>
  <c r="Q20" i="1"/>
  <c r="T20" i="1" s="1"/>
  <c r="S55" i="1"/>
  <c r="S26" i="1"/>
  <c r="S4" i="1"/>
  <c r="U4" i="1"/>
  <c r="S56" i="1"/>
  <c r="S43" i="1"/>
  <c r="S32" i="1"/>
  <c r="S20" i="1"/>
  <c r="S9" i="1"/>
  <c r="U10" i="1"/>
  <c r="U14" i="1"/>
  <c r="U18" i="1"/>
  <c r="U16" i="1"/>
  <c r="Q2" i="1"/>
  <c r="S51" i="1"/>
  <c r="S38" i="1"/>
  <c r="S28" i="1"/>
  <c r="S14" i="1"/>
  <c r="S5" i="1"/>
  <c r="U5" i="1"/>
  <c r="Q6" i="1"/>
  <c r="Q10" i="1"/>
  <c r="U13" i="1"/>
  <c r="U17" i="1"/>
  <c r="U22" i="1"/>
  <c r="U24" i="1"/>
  <c r="U26" i="1"/>
  <c r="U28" i="1"/>
  <c r="U30" i="1"/>
  <c r="U32" i="1"/>
  <c r="U34" i="1"/>
  <c r="U36" i="1"/>
  <c r="U38" i="1"/>
  <c r="U40" i="1"/>
  <c r="U42" i="1"/>
  <c r="U48" i="1"/>
  <c r="U50" i="1"/>
  <c r="U54" i="1"/>
  <c r="U56" i="1"/>
  <c r="U60" i="1"/>
  <c r="U62" i="1"/>
  <c r="U2" i="2"/>
  <c r="U4" i="2"/>
  <c r="U6" i="2"/>
  <c r="U8" i="2"/>
  <c r="U12" i="2"/>
  <c r="U14" i="2"/>
  <c r="U16" i="2"/>
  <c r="U20" i="2"/>
  <c r="Q23" i="2"/>
  <c r="T23" i="2" s="1"/>
  <c r="S23" i="2"/>
  <c r="Q25" i="2"/>
  <c r="T25" i="2" s="1"/>
  <c r="S25" i="2"/>
  <c r="U27" i="2"/>
  <c r="Q27" i="2"/>
  <c r="T27" i="2" s="1"/>
  <c r="S27" i="2"/>
  <c r="U29" i="2"/>
  <c r="Q29" i="2"/>
  <c r="T29" i="2" s="1"/>
  <c r="S29" i="2"/>
  <c r="Q31" i="2"/>
  <c r="T31" i="2" s="1"/>
  <c r="S31" i="2"/>
  <c r="U33" i="2"/>
  <c r="Q33" i="2"/>
  <c r="T33" i="2" s="1"/>
  <c r="S33" i="2"/>
  <c r="U35" i="2"/>
  <c r="Q35" i="2"/>
  <c r="T35" i="2" s="1"/>
  <c r="S35" i="2"/>
  <c r="U37" i="2"/>
  <c r="Q37" i="2"/>
  <c r="T37" i="2" s="1"/>
  <c r="S37" i="2"/>
  <c r="U39" i="2"/>
  <c r="Q39" i="2"/>
  <c r="T39" i="2" s="1"/>
  <c r="S39" i="2"/>
  <c r="Q41" i="2"/>
  <c r="T41" i="2" s="1"/>
  <c r="S41" i="2"/>
  <c r="U43" i="2"/>
  <c r="Q43" i="2"/>
  <c r="T43" i="2" s="1"/>
  <c r="Q45" i="2"/>
  <c r="T45" i="2" s="1"/>
  <c r="S45" i="2"/>
  <c r="Q47" i="2"/>
  <c r="T47" i="2" s="1"/>
  <c r="S47" i="2"/>
  <c r="U49" i="2"/>
  <c r="Q49" i="2"/>
  <c r="T49" i="2" s="1"/>
  <c r="S49" i="2"/>
  <c r="U12" i="1"/>
  <c r="U21" i="2"/>
  <c r="Q53" i="2"/>
  <c r="T53" i="2" s="1"/>
  <c r="U63" i="2"/>
  <c r="U55" i="2"/>
  <c r="Q55" i="2"/>
  <c r="T55" i="2" s="1"/>
  <c r="S56" i="2"/>
  <c r="U57" i="2"/>
  <c r="Q57" i="2"/>
  <c r="T57" i="2" s="1"/>
  <c r="U61" i="2"/>
  <c r="Q61" i="2"/>
  <c r="T61" i="2" s="1"/>
  <c r="U51" i="2"/>
  <c r="Q51" i="2"/>
  <c r="T51" i="2" s="1"/>
  <c r="Q59" i="2"/>
  <c r="T59" i="2" s="1"/>
  <c r="S2" i="2"/>
  <c r="S3" i="2"/>
  <c r="S4" i="2"/>
  <c r="S5" i="2"/>
  <c r="S9" i="2"/>
  <c r="S14" i="2"/>
  <c r="S20" i="2"/>
  <c r="S21" i="2"/>
  <c r="Q22" i="2"/>
  <c r="T22" i="2" s="1"/>
  <c r="Q24" i="2"/>
  <c r="T24" i="2" s="1"/>
  <c r="Q26" i="2"/>
  <c r="T26" i="2" s="1"/>
  <c r="Q28" i="2"/>
  <c r="T28" i="2" s="1"/>
  <c r="Q30" i="2"/>
  <c r="T30" i="2" s="1"/>
  <c r="Q32" i="2"/>
  <c r="T32" i="2" s="1"/>
  <c r="Q34" i="2"/>
  <c r="T34" i="2" s="1"/>
  <c r="Q36" i="2"/>
  <c r="T36" i="2" s="1"/>
  <c r="Q38" i="2"/>
  <c r="T38" i="2" s="1"/>
  <c r="Q40" i="2"/>
  <c r="T40" i="2" s="1"/>
  <c r="Q42" i="2"/>
  <c r="T42" i="2" s="1"/>
  <c r="U44" i="2"/>
  <c r="Q44" i="2"/>
  <c r="T44" i="2" s="1"/>
  <c r="U46" i="2"/>
  <c r="Q46" i="2"/>
  <c r="T46" i="2" s="1"/>
  <c r="Q48" i="2"/>
  <c r="T48" i="2" s="1"/>
  <c r="Q50" i="2"/>
  <c r="T50" i="2" s="1"/>
  <c r="U52" i="2"/>
  <c r="Q52" i="2"/>
  <c r="T52" i="2" s="1"/>
  <c r="S53" i="2"/>
  <c r="U54" i="2"/>
  <c r="Q54" i="2"/>
  <c r="T54" i="2" s="1"/>
  <c r="Q56" i="2"/>
  <c r="T56" i="2" s="1"/>
  <c r="S57" i="2"/>
  <c r="U58" i="2"/>
  <c r="Q58" i="2"/>
  <c r="T58" i="2" s="1"/>
  <c r="S59" i="2"/>
  <c r="U60" i="2"/>
  <c r="Q60" i="2"/>
  <c r="T60" i="2" s="1"/>
  <c r="S61" i="2"/>
  <c r="Q62" i="2"/>
  <c r="T62" i="2" s="1"/>
  <c r="Q63" i="2"/>
  <c r="T63" i="2" s="1"/>
  <c r="W2" i="1" l="1"/>
  <c r="W6" i="1"/>
  <c r="W10" i="1"/>
  <c r="W14" i="1"/>
  <c r="W18" i="1"/>
  <c r="W22" i="1"/>
  <c r="W26" i="1"/>
  <c r="W30" i="1"/>
  <c r="W34" i="1"/>
  <c r="W38" i="1"/>
  <c r="W42" i="1"/>
  <c r="W46" i="1"/>
  <c r="W50" i="1"/>
  <c r="W54" i="1"/>
  <c r="W58" i="1"/>
  <c r="W62" i="1"/>
  <c r="W3" i="1"/>
  <c r="W7" i="1"/>
  <c r="W11" i="1"/>
  <c r="W15" i="1"/>
  <c r="W19" i="1"/>
  <c r="W23" i="1"/>
  <c r="W27" i="1"/>
  <c r="W31" i="1"/>
  <c r="W35" i="1"/>
  <c r="W39" i="1"/>
  <c r="W43" i="1"/>
  <c r="W47" i="1"/>
  <c r="W51" i="1"/>
  <c r="W55" i="1"/>
  <c r="W59" i="1"/>
  <c r="W63" i="1"/>
  <c r="W4" i="1"/>
  <c r="W8" i="1"/>
  <c r="W12" i="1"/>
  <c r="W16" i="1"/>
  <c r="W20" i="1"/>
  <c r="W24" i="1"/>
  <c r="W28" i="1"/>
  <c r="W32" i="1"/>
  <c r="W36" i="1"/>
  <c r="W40" i="1"/>
  <c r="W44" i="1"/>
  <c r="W48" i="1"/>
  <c r="W52" i="1"/>
  <c r="W56" i="1"/>
  <c r="W60" i="1"/>
  <c r="W5" i="1"/>
  <c r="W9" i="1"/>
  <c r="W13" i="1"/>
  <c r="W17" i="1"/>
  <c r="W21" i="1"/>
  <c r="W25" i="1"/>
  <c r="W29" i="1"/>
  <c r="W33" i="1"/>
  <c r="W37" i="1"/>
  <c r="W41" i="1"/>
  <c r="W45" i="1"/>
  <c r="W49" i="1"/>
  <c r="W53" i="1"/>
  <c r="W57" i="1"/>
  <c r="W61" i="1"/>
  <c r="T63" i="1"/>
  <c r="V63" i="1"/>
  <c r="T31" i="1"/>
  <c r="V31" i="1"/>
  <c r="T52" i="1"/>
  <c r="V52" i="1"/>
  <c r="T45" i="1"/>
  <c r="V45" i="1"/>
  <c r="T17" i="1"/>
  <c r="V17" i="1"/>
  <c r="T41" i="1"/>
  <c r="V41" i="1"/>
  <c r="T11" i="1"/>
  <c r="V11" i="1"/>
  <c r="T19" i="1"/>
  <c r="V19" i="1"/>
  <c r="T6" i="1"/>
  <c r="V6" i="1"/>
  <c r="T10" i="1"/>
  <c r="V10" i="1"/>
  <c r="T2" i="1"/>
  <c r="V2" i="1"/>
  <c r="V43" i="1"/>
  <c r="V20" i="1"/>
  <c r="V32" i="1"/>
  <c r="V56" i="1"/>
  <c r="V9" i="1"/>
  <c r="T16" i="1"/>
  <c r="V16" i="1"/>
  <c r="T8" i="1"/>
  <c r="V8" i="1"/>
  <c r="T61" i="1"/>
  <c r="V61" i="1"/>
  <c r="T60" i="1"/>
  <c r="V60" i="1"/>
  <c r="T48" i="1"/>
  <c r="V48" i="1"/>
  <c r="T44" i="1"/>
  <c r="V44" i="1"/>
  <c r="T35" i="1"/>
  <c r="V35" i="1"/>
  <c r="T7" i="1"/>
  <c r="V7" i="1"/>
  <c r="T29" i="1"/>
  <c r="V29" i="1"/>
  <c r="T34" i="1"/>
  <c r="V34" i="1"/>
  <c r="T57" i="1"/>
  <c r="V57" i="1"/>
  <c r="T30" i="1"/>
  <c r="V30" i="1"/>
  <c r="T42" i="1"/>
  <c r="V42" i="1"/>
  <c r="T58" i="1"/>
  <c r="V58" i="1"/>
  <c r="T39" i="1"/>
  <c r="V39" i="1"/>
  <c r="T23" i="1"/>
  <c r="V23" i="1"/>
  <c r="T47" i="1"/>
  <c r="V47" i="1"/>
  <c r="T27" i="1"/>
  <c r="V27" i="1"/>
  <c r="T25" i="1"/>
  <c r="V25" i="1"/>
  <c r="T21" i="1"/>
  <c r="V21" i="1"/>
  <c r="T37" i="1"/>
  <c r="V37" i="1"/>
  <c r="T13" i="1"/>
  <c r="V13" i="1"/>
  <c r="T33" i="1"/>
  <c r="V33" i="1"/>
  <c r="T12" i="1"/>
  <c r="V12" i="1"/>
  <c r="T53" i="1"/>
  <c r="V53" i="1"/>
  <c r="T46" i="1"/>
  <c r="V46" i="1"/>
  <c r="T36" i="1"/>
  <c r="V36" i="1"/>
  <c r="T15" i="1"/>
  <c r="V15" i="1"/>
  <c r="T54" i="1"/>
  <c r="V54" i="1"/>
  <c r="T40" i="1"/>
  <c r="V40" i="1"/>
  <c r="T24" i="1"/>
  <c r="V24" i="1"/>
  <c r="T62" i="1"/>
  <c r="V62" i="1"/>
  <c r="T22" i="1"/>
  <c r="V22" i="1"/>
  <c r="U41" i="1"/>
  <c r="U7" i="1"/>
  <c r="U23" i="1"/>
  <c r="T59" i="1"/>
  <c r="U59" i="1"/>
  <c r="U9" i="1"/>
  <c r="U31" i="1"/>
  <c r="U53" i="1"/>
  <c r="U35" i="1"/>
  <c r="U63" i="1"/>
  <c r="U43" i="1"/>
  <c r="U2" i="1"/>
  <c r="U50" i="2"/>
  <c r="U42" i="2"/>
  <c r="U38" i="2"/>
  <c r="U34" i="2"/>
  <c r="U30" i="2"/>
  <c r="U26" i="2"/>
  <c r="U22" i="2"/>
  <c r="U62" i="2"/>
  <c r="U45" i="2"/>
  <c r="U31" i="2"/>
  <c r="U23" i="2"/>
  <c r="U8" i="1"/>
  <c r="U56" i="2"/>
  <c r="U48" i="2"/>
  <c r="U40" i="2"/>
  <c r="U36" i="2"/>
  <c r="U32" i="2"/>
  <c r="U28" i="2"/>
  <c r="U24" i="2"/>
  <c r="U59" i="2"/>
  <c r="U53" i="2"/>
  <c r="U47" i="2"/>
  <c r="U41" i="2"/>
  <c r="U25" i="2"/>
  <c r="U6" i="1"/>
  <c r="U20" i="1"/>
  <c r="X2" i="1" l="1"/>
  <c r="X6" i="1"/>
  <c r="X10" i="1"/>
  <c r="X14" i="1"/>
  <c r="X18" i="1"/>
  <c r="X22" i="1"/>
  <c r="X26" i="1"/>
  <c r="X30" i="1"/>
  <c r="X34" i="1"/>
  <c r="X38" i="1"/>
  <c r="X42" i="1"/>
  <c r="X46" i="1"/>
  <c r="X50" i="1"/>
  <c r="X54" i="1"/>
  <c r="X58" i="1"/>
  <c r="X62" i="1"/>
  <c r="X3" i="1"/>
  <c r="X7" i="1"/>
  <c r="X11" i="1"/>
  <c r="X15" i="1"/>
  <c r="X19" i="1"/>
  <c r="X23" i="1"/>
  <c r="X27" i="1"/>
  <c r="X31" i="1"/>
  <c r="X35" i="1"/>
  <c r="X39" i="1"/>
  <c r="X43" i="1"/>
  <c r="X47" i="1"/>
  <c r="X51" i="1"/>
  <c r="X55" i="1"/>
  <c r="X59" i="1"/>
  <c r="X63" i="1"/>
  <c r="X4" i="1"/>
  <c r="X8" i="1"/>
  <c r="X12" i="1"/>
  <c r="X16" i="1"/>
  <c r="X20" i="1"/>
  <c r="X24" i="1"/>
  <c r="X28" i="1"/>
  <c r="X32" i="1"/>
  <c r="X36" i="1"/>
  <c r="X40" i="1"/>
  <c r="X44" i="1"/>
  <c r="X48" i="1"/>
  <c r="X52" i="1"/>
  <c r="X56" i="1"/>
  <c r="X60" i="1"/>
  <c r="X5" i="1"/>
  <c r="X9" i="1"/>
  <c r="X13" i="1"/>
  <c r="X17" i="1"/>
  <c r="X21" i="1"/>
  <c r="X25" i="1"/>
  <c r="X29" i="1"/>
  <c r="X33" i="1"/>
  <c r="X37" i="1"/>
  <c r="X41" i="1"/>
  <c r="X45" i="1"/>
  <c r="X49" i="1"/>
  <c r="X53" i="1"/>
  <c r="X57" i="1"/>
  <c r="X61" i="1"/>
</calcChain>
</file>

<file path=xl/sharedStrings.xml><?xml version="1.0" encoding="utf-8"?>
<sst xmlns="http://schemas.openxmlformats.org/spreadsheetml/2006/main" count="846" uniqueCount="96">
  <si>
    <t>Supplier_ID</t>
  </si>
  <si>
    <t>Region</t>
  </si>
  <si>
    <t>Shipment_Date</t>
  </si>
  <si>
    <t>Expected_Delivery_Date</t>
  </si>
  <si>
    <t>Actual_Delivery_Date</t>
  </si>
  <si>
    <t>Product_Type</t>
  </si>
  <si>
    <t>Order_Quantity</t>
  </si>
  <si>
    <t>Lead_Time_Predicted</t>
  </si>
  <si>
    <t>Transport_Mode</t>
  </si>
  <si>
    <t>Global_Disruption_Flag</t>
  </si>
  <si>
    <t>Is_Critical_Component</t>
  </si>
  <si>
    <t>Unit_Cost</t>
  </si>
  <si>
    <t>Production_Impact_Cost</t>
  </si>
  <si>
    <t>Actual_Lead_Time</t>
  </si>
  <si>
    <t>Lead_Time_Variance</t>
  </si>
  <si>
    <t>Is_Delayed</t>
  </si>
  <si>
    <t>Delay_Days</t>
  </si>
  <si>
    <t>Total_Order_Value</t>
  </si>
  <si>
    <t>Supplier_Reliability_Score</t>
  </si>
  <si>
    <t>Delay_Risk_Score</t>
  </si>
  <si>
    <t>Potential_Financial_Impact</t>
  </si>
  <si>
    <t>SUP001</t>
  </si>
  <si>
    <t>APAC</t>
  </si>
  <si>
    <t>Bearings</t>
  </si>
  <si>
    <t>Sea</t>
  </si>
  <si>
    <t>No</t>
  </si>
  <si>
    <t>Yes</t>
  </si>
  <si>
    <t>SUP002</t>
  </si>
  <si>
    <t>EMEA</t>
  </si>
  <si>
    <t>Panels</t>
  </si>
  <si>
    <t>Air</t>
  </si>
  <si>
    <t>SUP003</t>
  </si>
  <si>
    <t>Americas</t>
  </si>
  <si>
    <t>Circuits</t>
  </si>
  <si>
    <t>Road</t>
  </si>
  <si>
    <t>SUP004</t>
  </si>
  <si>
    <t>Motors</t>
  </si>
  <si>
    <t>SUP005</t>
  </si>
  <si>
    <t>Connectors</t>
  </si>
  <si>
    <t>SUP006</t>
  </si>
  <si>
    <t>SUP007</t>
  </si>
  <si>
    <t>Controllers</t>
  </si>
  <si>
    <t>Sensors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</si>
  <si>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</si>
  <si>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</si>
  <si>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</si>
  <si>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</si>
  <si>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</si>
  <si>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</si>
  <si>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</si>
  <si>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</si>
  <si>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</si>
  <si>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</si>
  <si>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</si>
  <si>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</si>
  <si>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</si>
  <si>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</si>
  <si>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</si>
  <si>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</si>
  <si>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</si>
  <si>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</si>
  <si>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</si>
  <si>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</si>
  <si>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</si>
  <si>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</si>
  <si>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</si>
  <si>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</si>
  <si>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</si>
  <si>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</si>
  <si>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</si>
  <si>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</si>
  <si>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</si>
  <si>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</si>
  <si>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</si>
  <si>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</si>
  <si>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</si>
  <si>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SUP041</t>
  </si>
  <si>
    <t>SUP042</t>
  </si>
  <si>
    <t>SUP043</t>
  </si>
  <si>
    <t>SUP044</t>
  </si>
  <si>
    <t>SUP045</t>
  </si>
  <si>
    <t>SUP046</t>
  </si>
  <si>
    <t>SUP047</t>
  </si>
  <si>
    <t>SUP048</t>
  </si>
  <si>
    <t>SUP049</t>
  </si>
  <si>
    <t>SUP050</t>
  </si>
  <si>
    <r>
      <t>Average Delay by Supplier</t>
    </r>
    <r>
      <rPr>
        <sz val="10"/>
        <color rgb="FF000000"/>
        <rFont val="Arial"/>
        <family val="2"/>
        <scheme val="minor"/>
      </rPr>
      <t>:</t>
    </r>
  </si>
  <si>
    <t>Reliability by Transport Mode</t>
  </si>
  <si>
    <t>Total Financial Impact by Region</t>
  </si>
  <si>
    <t>Average Delay by Supplier:</t>
  </si>
  <si>
    <t>(All)</t>
  </si>
  <si>
    <t>Grand Total</t>
  </si>
  <si>
    <t>Row Labels</t>
  </si>
  <si>
    <t>Sum of Average Delay by Supplier:</t>
  </si>
  <si>
    <t>Sum of Average Delay by Supplier:2</t>
  </si>
  <si>
    <t>Average of Average Delay by Supplier: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</si>
</sst>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/>
    <xf numFmtId="0" fontId="1" fillId="2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04.639181944447" createdVersion="4" refreshedVersion="4" minRefreshableVersion="3" recordCount="62">
  <cacheSource type="worksheet">
    <worksheetSource name="Table3"/>
  </cacheSource>
  <cacheFields count="24">
    <cacheField name="Supplier_ID" numFmtId="0">
      <sharedItems count="50">
        <s v="SUP001"/>
        <s v="SUP002"/>
        <s v="SUP003"/>
        <s v="SUP004"/>
        <s v="SUP005"/>
        <s v="SUP006"/>
        <s v="SUP007"/>
        <s v="SUP008"/>
        <s v="SUP009"/>
        <s v="SUP010"/>
        <s v="SUP011"/>
        <s v="SUP012"/>
        <s v="SUP013"/>
        <s v="SUP014"/>
        <s v="SUP015"/>
        <s v="SUP016"/>
        <s v="SUP017"/>
        <s v="SUP018"/>
        <s v="SUP019"/>
        <s v="SUP020"/>
        <s v="SUP021"/>
        <s v="SUP022"/>
        <s v="SUP023"/>
        <s v="SUP024"/>
        <s v="SUP025"/>
        <s v="SUP026"/>
        <s v="SUP027"/>
        <s v="SUP028"/>
        <s v="SUP029"/>
        <s v="SUP030"/>
        <s v="SUP031"/>
        <s v="SUP032"/>
        <s v="SUP033"/>
        <s v="SUP034"/>
        <s v="SUP035"/>
        <s v="SUP036"/>
        <s v="SUP037"/>
        <s v="SUP038"/>
        <s v="SUP039"/>
        <s v="SUP040"/>
        <s v="SUP041"/>
        <s v="SUP042"/>
        <s v="SUP043"/>
        <s v="SUP044"/>
        <s v="SUP045"/>
        <s v="SUP046"/>
        <s v="SUP047"/>
        <s v="SUP048"/>
        <s v="SUP049"/>
        <s v="SUP050"/>
      </sharedItems>
    </cacheField>
    <cacheField name="Region" numFmtId="0">
      <sharedItems/>
    </cacheField>
    <cacheField name="Shipment_Date" numFmtId="164">
      <sharedItems containsSemiMixedTypes="0" containsNonDate="0" containsDate="1" containsString="0" minDate="2023-01-05T00:00:00" maxDate="2023-06-11T00:00:00"/>
    </cacheField>
    <cacheField name="Expected_Delivery_Date" numFmtId="164">
      <sharedItems containsSemiMixedTypes="0" containsNonDate="0" containsDate="1" containsString="0" minDate="2023-01-17T00:00:00" maxDate="2023-06-29T00:00:00"/>
    </cacheField>
    <cacheField name="Actual_Delivery_Date" numFmtId="164">
      <sharedItems containsSemiMixedTypes="0" containsNonDate="0" containsDate="1" containsString="0" minDate="2023-01-16T00:00:00" maxDate="2023-07-06T00:00:00"/>
    </cacheField>
    <cacheField name="Product_Type" numFmtId="0">
      <sharedItems/>
    </cacheField>
    <cacheField name="Order_Quantity" numFmtId="0">
      <sharedItems containsSemiMixedTypes="0" containsString="0" containsNumber="1" containsInteger="1" minValue="300" maxValue="2000"/>
    </cacheField>
    <cacheField name="Lead_Time_Predicted" numFmtId="0">
      <sharedItems containsSemiMixedTypes="0" containsString="0" containsNumber="1" containsInteger="1" minValue="10" maxValue="20"/>
    </cacheField>
    <cacheField name="Transport_Mode" numFmtId="0">
      <sharedItems/>
    </cacheField>
    <cacheField name="Global_Disruption_Flag" numFmtId="0">
      <sharedItems/>
    </cacheField>
    <cacheField name="Is_Critical_Component" numFmtId="0">
      <sharedItems/>
    </cacheField>
    <cacheField name="Unit_Cost" numFmtId="0">
      <sharedItems containsSemiMixedTypes="0" containsString="0" containsNumber="1" containsInteger="1" minValue="16" maxValue="310"/>
    </cacheField>
    <cacheField name="Production_Impact_Cost" numFmtId="0">
      <sharedItems containsSemiMixedTypes="0" containsString="0" containsNumber="1" containsInteger="1" minValue="2300" maxValue="15000"/>
    </cacheField>
    <cacheField name="Actual_Lead_Time" numFmtId="0">
      <sharedItems containsSemiMixedTypes="0" containsString="0" containsNumber="1" containsInteger="1" minValue="9" maxValue="37"/>
    </cacheField>
    <cacheField name="Lead_Time_Variance" numFmtId="0">
      <sharedItems containsSemiMixedTypes="0" containsString="0" containsNumber="1" containsInteger="1" minValue="-1" maxValue="17"/>
    </cacheField>
    <cacheField name="Is_Delayed" numFmtId="0">
      <sharedItems/>
    </cacheField>
    <cacheField name="Delay_Days" numFmtId="0">
      <sharedItems containsSemiMixedTypes="0" containsString="0" containsNumber="1" containsInteger="1" minValue="0" maxValue="17"/>
    </cacheField>
    <cacheField name="Total_Order_Value" numFmtId="0">
      <sharedItems containsSemiMixedTypes="0" containsString="0" containsNumber="1" containsInteger="1" minValue="24000" maxValue="154000"/>
    </cacheField>
    <cacheField name="Supplier_Reliability_Score" numFmtId="0">
      <sharedItems containsSemiMixedTypes="0" containsString="0" containsNumber="1" containsInteger="1" minValue="0" maxValue="1"/>
    </cacheField>
    <cacheField name="Delay_Risk_Score" numFmtId="0">
      <sharedItems containsSemiMixedTypes="0" containsString="0" containsNumber="1" minValue="0" maxValue="8.5"/>
    </cacheField>
    <cacheField name="Potential_Financial_Impact" numFmtId="0">
      <sharedItems containsSemiMixedTypes="0" containsString="0" containsNumber="1" containsInteger="1" minValue="0" maxValue="204000"/>
    </cacheField>
    <cacheField name="Average Delay by Supplier:" numFmtId="0">
      <sharedItems containsSemiMixedTypes="0" containsString="0" containsNumber="1" minValue="0" maxValue="15" count="14">
        <n v="5.5"/>
        <n v="0"/>
        <n v="7"/>
        <n v="12.8"/>
        <n v="2"/>
        <n v="3"/>
        <n v="12"/>
        <n v="4"/>
        <n v="1"/>
        <n v="15"/>
        <n v="8"/>
        <n v="10"/>
        <n v="5"/>
        <n v="14"/>
      </sharedItems>
    </cacheField>
    <cacheField name="Reliability by Transport Mode" numFmtId="0">
      <sharedItems containsSemiMixedTypes="0" containsString="0" containsNumber="1" minValue="0.8125" maxValue="0.8125"/>
    </cacheField>
    <cacheField name="Total Financial Impact by Region" numFmtId="0">
      <sharedItems containsSemiMixedTypes="0" containsString="0" containsNumber="1" containsInteger="1" minValue="2097325" maxValue="2097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">
  <r>
    <x v="0"/>
    <s v="APAC"/>
    <d v="2023-01-05T00:00:00"/>
    <d v="2023-01-25T00:00:00"/>
    <d v="2023-01-30T00:00:00"/>
    <s v="Bearings"/>
    <n v="1200"/>
    <n v="20"/>
    <s v="Sea"/>
    <s v="No"/>
    <s v="Yes"/>
    <n v="45"/>
    <n v="9500"/>
    <n v="25"/>
    <n v="5"/>
    <s v="Yes"/>
    <n v="5"/>
    <n v="54000"/>
    <n v="0"/>
    <n v="3"/>
    <n v="47500"/>
    <x v="0"/>
    <n v="0.8125"/>
    <n v="2097325"/>
  </r>
  <r>
    <x v="1"/>
    <s v="EMEA"/>
    <d v="2023-01-07T00:00:00"/>
    <d v="2023-01-17T00:00:00"/>
    <d v="2023-01-16T00:00:00"/>
    <s v="Panels"/>
    <n v="800"/>
    <n v="10"/>
    <s v="Air"/>
    <s v="No"/>
    <s v="No"/>
    <n v="120"/>
    <n v="3600"/>
    <n v="9"/>
    <n v="-1"/>
    <s v="No"/>
    <n v="0"/>
    <n v="96000"/>
    <n v="1"/>
    <n v="0"/>
    <n v="0"/>
    <x v="1"/>
    <n v="0.8125"/>
    <n v="2097325"/>
  </r>
  <r>
    <x v="2"/>
    <s v="Americas"/>
    <d v="2023-01-10T00:00:00"/>
    <d v="2023-01-22T00:00:00"/>
    <d v="2023-01-29T00:00:00"/>
    <s v="Circuits"/>
    <n v="350"/>
    <n v="12"/>
    <s v="Road"/>
    <s v="No"/>
    <s v="Yes"/>
    <n v="85"/>
    <n v="8200"/>
    <n v="19"/>
    <n v="7"/>
    <s v="Yes"/>
    <n v="7"/>
    <n v="29750"/>
    <n v="0"/>
    <n v="4"/>
    <n v="57400"/>
    <x v="2"/>
    <n v="0.8125"/>
    <n v="2097325"/>
  </r>
  <r>
    <x v="3"/>
    <s v="APAC"/>
    <d v="2023-01-12T00:00:00"/>
    <d v="2023-02-01T00:00:00"/>
    <d v="2023-02-15T00:00:00"/>
    <s v="Motors"/>
    <n v="650"/>
    <n v="20"/>
    <s v="Sea"/>
    <s v="Yes"/>
    <s v="Yes"/>
    <n v="220"/>
    <n v="12000"/>
    <n v="34"/>
    <n v="14"/>
    <s v="Yes"/>
    <n v="14"/>
    <n v="143000"/>
    <n v="0"/>
    <n v="8.5"/>
    <n v="168000"/>
    <x v="3"/>
    <n v="0.8125"/>
    <n v="2097325"/>
  </r>
  <r>
    <x v="4"/>
    <s v="EMEA"/>
    <d v="2023-01-15T00:00:00"/>
    <d v="2023-01-25T00:00:00"/>
    <d v="2023-01-27T00:00:00"/>
    <s v="Connectors"/>
    <n v="1500"/>
    <n v="10"/>
    <s v="Road"/>
    <s v="No"/>
    <s v="No"/>
    <n v="18"/>
    <n v="2500"/>
    <n v="12"/>
    <n v="2"/>
    <s v="Yes"/>
    <n v="2"/>
    <n v="27000"/>
    <n v="0"/>
    <n v="1"/>
    <n v="2500"/>
    <x v="4"/>
    <n v="0.8125"/>
    <n v="2097325"/>
  </r>
  <r>
    <x v="5"/>
    <s v="EMEA"/>
    <d v="2023-01-18T00:00:00"/>
    <d v="2023-01-28T00:00:00"/>
    <d v="2023-01-31T00:00:00"/>
    <s v="Bearings"/>
    <n v="950"/>
    <n v="10"/>
    <s v="Road"/>
    <s v="No"/>
    <s v="Yes"/>
    <n v="52"/>
    <n v="9000"/>
    <n v="13"/>
    <n v="3"/>
    <s v="Yes"/>
    <n v="3"/>
    <n v="49400"/>
    <n v="0"/>
    <n v="2"/>
    <n v="27000"/>
    <x v="5"/>
    <n v="0.8125"/>
    <n v="2097325"/>
  </r>
  <r>
    <x v="6"/>
    <s v="APAC"/>
    <d v="2023-01-20T00:00:00"/>
    <d v="2023-02-09T00:00:00"/>
    <d v="2023-02-21T00:00:00"/>
    <s v="Controllers"/>
    <n v="400"/>
    <n v="20"/>
    <s v="Sea"/>
    <s v="Yes"/>
    <s v="Yes"/>
    <n v="310"/>
    <n v="15000"/>
    <n v="32"/>
    <n v="12"/>
    <s v="Yes"/>
    <n v="12"/>
    <n v="124000"/>
    <n v="0"/>
    <n v="8.5"/>
    <n v="180000"/>
    <x v="6"/>
    <n v="0.8125"/>
    <n v="2097325"/>
  </r>
  <r>
    <x v="0"/>
    <s v="APAC"/>
    <d v="2023-01-22T00:00:00"/>
    <d v="2023-02-11T00:00:00"/>
    <d v="2023-02-14T00:00:00"/>
    <s v="Sensors"/>
    <n v="1100"/>
    <n v="20"/>
    <s v="Sea"/>
    <s v="No"/>
    <s v="No"/>
    <n v="65"/>
    <n v="4200"/>
    <n v="23"/>
    <n v="3"/>
    <s v="Yes"/>
    <n v="3"/>
    <n v="71500"/>
    <n v="0"/>
    <n v="1.5"/>
    <n v="6300"/>
    <x v="0"/>
    <n v="0.8125"/>
    <n v="2097325"/>
  </r>
  <r>
    <x v="7"/>
    <s v="Americas"/>
    <d v="2023-01-25T00:00:00"/>
    <d v="2023-02-04T00:00:00"/>
    <d v="2023-02-04T00:00:00"/>
    <s v="Panels"/>
    <n v="750"/>
    <n v="10"/>
    <s v="Air"/>
    <s v="No"/>
    <s v="No"/>
    <n v="115"/>
    <n v="3400"/>
    <n v="10"/>
    <n v="0"/>
    <s v="No"/>
    <n v="0"/>
    <n v="86250"/>
    <n v="1"/>
    <n v="0"/>
    <n v="0"/>
    <x v="1"/>
    <n v="0.8125"/>
    <n v="2097325"/>
  </r>
  <r>
    <x v="8"/>
    <s v="APAC"/>
    <d v="2023-01-28T00:00:00"/>
    <d v="2023-02-17T00:00:00"/>
    <d v="2023-03-01T00:00:00"/>
    <s v="Circuits"/>
    <n v="500"/>
    <n v="20"/>
    <s v="Sea"/>
    <s v="Yes"/>
    <s v="Yes"/>
    <n v="90"/>
    <n v="8500"/>
    <n v="32"/>
    <n v="12"/>
    <s v="Yes"/>
    <n v="12"/>
    <n v="45000"/>
    <n v="0"/>
    <n v="8.5"/>
    <n v="102000"/>
    <x v="6"/>
    <n v="0.8125"/>
    <n v="2097325"/>
  </r>
  <r>
    <x v="9"/>
    <s v="EMEA"/>
    <d v="2023-02-01T00:00:00"/>
    <d v="2023-02-11T00:00:00"/>
    <d v="2023-02-15T00:00:00"/>
    <s v="Bearings"/>
    <n v="2000"/>
    <n v="10"/>
    <s v="Road"/>
    <s v="No"/>
    <s v="Yes"/>
    <n v="48"/>
    <n v="9200"/>
    <n v="14"/>
    <n v="4"/>
    <s v="Yes"/>
    <n v="4"/>
    <n v="96000"/>
    <n v="0"/>
    <n v="2.5"/>
    <n v="36800"/>
    <x v="7"/>
    <n v="0.8125"/>
    <n v="2097325"/>
  </r>
  <r>
    <x v="10"/>
    <s v="Americas"/>
    <d v="2023-02-03T00:00:00"/>
    <d v="2023-02-18T00:00:00"/>
    <d v="2023-02-19T00:00:00"/>
    <s v="Controllers"/>
    <n v="300"/>
    <n v="15"/>
    <s v="Road"/>
    <s v="No"/>
    <s v="Yes"/>
    <n v="295"/>
    <n v="14500"/>
    <n v="16"/>
    <n v="1"/>
    <s v="Yes"/>
    <n v="1"/>
    <n v="88500"/>
    <n v="0"/>
    <n v="1"/>
    <n v="14500"/>
    <x v="8"/>
    <n v="0.8125"/>
    <n v="2097325"/>
  </r>
  <r>
    <x v="3"/>
    <s v="APAC"/>
    <d v="2023-02-05T00:00:00"/>
    <d v="2023-02-25T00:00:00"/>
    <d v="2023-03-10T00:00:00"/>
    <s v="Motors"/>
    <n v="700"/>
    <n v="20"/>
    <s v="Sea"/>
    <s v="Yes"/>
    <s v="Yes"/>
    <n v="220"/>
    <n v="12000"/>
    <n v="33"/>
    <n v="13"/>
    <s v="Yes"/>
    <n v="13"/>
    <n v="154000"/>
    <n v="0"/>
    <n v="8.5"/>
    <n v="156000"/>
    <x v="3"/>
    <n v="0.8125"/>
    <n v="2097325"/>
  </r>
  <r>
    <x v="11"/>
    <s v="EMEA"/>
    <d v="2023-02-08T00:00:00"/>
    <d v="2023-02-23T00:00:00"/>
    <d v="2023-02-22T00:00:00"/>
    <s v="Connectors"/>
    <n v="1200"/>
    <n v="15"/>
    <s v="Air"/>
    <s v="No"/>
    <s v="No"/>
    <n v="20"/>
    <n v="2800"/>
    <n v="14"/>
    <n v="-1"/>
    <s v="No"/>
    <n v="0"/>
    <n v="24000"/>
    <n v="1"/>
    <n v="0"/>
    <n v="0"/>
    <x v="1"/>
    <n v="0.8125"/>
    <n v="2097325"/>
  </r>
  <r>
    <x v="12"/>
    <s v="Americas"/>
    <d v="2023-02-10T00:00:00"/>
    <d v="2023-02-25T00:00:00"/>
    <d v="2023-02-28T00:00:00"/>
    <s v="Panels"/>
    <n v="900"/>
    <n v="15"/>
    <s v="Road"/>
    <s v="No"/>
    <s v="No"/>
    <n v="118"/>
    <n v="3500"/>
    <n v="18"/>
    <n v="3"/>
    <s v="Yes"/>
    <n v="3"/>
    <n v="106200"/>
    <n v="0"/>
    <n v="1.5"/>
    <n v="5250"/>
    <x v="5"/>
    <n v="0.8125"/>
    <n v="2097325"/>
  </r>
  <r>
    <x v="13"/>
    <s v="APAC"/>
    <d v="2023-02-12T00:00:00"/>
    <d v="2023-03-04T00:00:00"/>
    <d v="2023-03-05T00:00:00"/>
    <s v="Sensors"/>
    <n v="600"/>
    <n v="20"/>
    <s v="Sea"/>
    <s v="No"/>
    <s v="No"/>
    <n v="70"/>
    <n v="4500"/>
    <n v="21"/>
    <n v="1"/>
    <s v="Yes"/>
    <n v="1"/>
    <n v="42000"/>
    <n v="0"/>
    <n v="0.5"/>
    <n v="2250"/>
    <x v="8"/>
    <n v="0.8125"/>
    <n v="2097325"/>
  </r>
  <r>
    <x v="1"/>
    <s v="EMEA"/>
    <d v="2023-02-15T00:00:00"/>
    <d v="2023-02-25T00:00:00"/>
    <d v="2023-02-24T00:00:00"/>
    <s v="Panels"/>
    <n v="850"/>
    <n v="10"/>
    <s v="Air"/>
    <s v="No"/>
    <s v="No"/>
    <n v="120"/>
    <n v="3600"/>
    <n v="9"/>
    <n v="-1"/>
    <s v="No"/>
    <n v="0"/>
    <n v="102000"/>
    <n v="1"/>
    <n v="0"/>
    <n v="0"/>
    <x v="1"/>
    <n v="0.8125"/>
    <n v="2097325"/>
  </r>
  <r>
    <x v="14"/>
    <s v="Americas"/>
    <d v="2023-02-18T00:00:00"/>
    <d v="2023-03-05T00:00:00"/>
    <d v="2023-03-12T00:00:00"/>
    <s v="Circuits"/>
    <n v="450"/>
    <n v="15"/>
    <s v="Road"/>
    <s v="No"/>
    <s v="Yes"/>
    <n v="88"/>
    <n v="8300"/>
    <n v="22"/>
    <n v="7"/>
    <s v="Yes"/>
    <n v="7"/>
    <n v="39600"/>
    <n v="0"/>
    <n v="4"/>
    <n v="58100"/>
    <x v="2"/>
    <n v="0.8125"/>
    <n v="2097325"/>
  </r>
  <r>
    <x v="0"/>
    <s v="APAC"/>
    <d v="2023-02-20T00:00:00"/>
    <d v="2023-03-12T00:00:00"/>
    <d v="2023-03-20T00:00:00"/>
    <s v="Bearings"/>
    <n v="1300"/>
    <n v="20"/>
    <s v="Sea"/>
    <s v="No"/>
    <s v="Yes"/>
    <n v="45"/>
    <n v="9500"/>
    <n v="28"/>
    <n v="8"/>
    <s v="Yes"/>
    <n v="8"/>
    <n v="58500"/>
    <n v="0"/>
    <n v="4.5"/>
    <n v="76000"/>
    <x v="0"/>
    <n v="0.8125"/>
    <n v="2097325"/>
  </r>
  <r>
    <x v="15"/>
    <s v="EMEA"/>
    <d v="2023-02-22T00:00:00"/>
    <d v="2023-03-09T00:00:00"/>
    <d v="2023-03-11T00:00:00"/>
    <s v="Controllers"/>
    <n v="350"/>
    <n v="15"/>
    <s v="Air"/>
    <s v="No"/>
    <s v="Yes"/>
    <n v="300"/>
    <n v="14800"/>
    <n v="17"/>
    <n v="2"/>
    <s v="Yes"/>
    <n v="2"/>
    <n v="105000"/>
    <n v="0"/>
    <n v="1.5"/>
    <n v="29600"/>
    <x v="4"/>
    <n v="0.8125"/>
    <n v="2097325"/>
  </r>
  <r>
    <x v="16"/>
    <s v="APAC"/>
    <d v="2023-02-25T00:00:00"/>
    <d v="2023-03-17T00:00:00"/>
    <d v="2023-04-01T00:00:00"/>
    <s v="Motors"/>
    <n v="550"/>
    <n v="20"/>
    <s v="Sea"/>
    <s v="Yes"/>
    <s v="Yes"/>
    <n v="215"/>
    <n v="11800"/>
    <n v="35"/>
    <n v="15"/>
    <s v="Yes"/>
    <n v="15"/>
    <n v="118250"/>
    <n v="0"/>
    <n v="8.5"/>
    <n v="177000"/>
    <x v="9"/>
    <n v="0.8125"/>
    <n v="2097325"/>
  </r>
  <r>
    <x v="17"/>
    <s v="Americas"/>
    <d v="2023-03-01T00:00:00"/>
    <d v="2023-03-11T00:00:00"/>
    <d v="2023-03-13T00:00:00"/>
    <s v="Connectors"/>
    <n v="1800"/>
    <n v="10"/>
    <s v="Road"/>
    <s v="No"/>
    <s v="No"/>
    <n v="17"/>
    <n v="2400"/>
    <n v="12"/>
    <n v="2"/>
    <s v="Yes"/>
    <n v="2"/>
    <n v="30600"/>
    <n v="0"/>
    <n v="1"/>
    <n v="2400"/>
    <x v="4"/>
    <n v="0.8125"/>
    <n v="2097325"/>
  </r>
  <r>
    <x v="18"/>
    <s v="EMEA"/>
    <d v="2023-03-03T00:00:00"/>
    <d v="2023-03-13T00:00:00"/>
    <d v="2023-03-15T00:00:00"/>
    <s v="Panels"/>
    <n v="950"/>
    <n v="10"/>
    <s v="Road"/>
    <s v="No"/>
    <s v="No"/>
    <n v="125"/>
    <n v="3700"/>
    <n v="12"/>
    <n v="2"/>
    <s v="Yes"/>
    <n v="2"/>
    <n v="118750"/>
    <n v="0"/>
    <n v="1"/>
    <n v="3700"/>
    <x v="4"/>
    <n v="0.8125"/>
    <n v="2097325"/>
  </r>
  <r>
    <x v="19"/>
    <s v="APAC"/>
    <d v="2023-03-05T00:00:00"/>
    <d v="2023-03-25T00:00:00"/>
    <d v="2023-04-02T00:00:00"/>
    <s v="Circuits"/>
    <n v="550"/>
    <n v="20"/>
    <s v="Sea"/>
    <s v="No"/>
    <s v="Yes"/>
    <n v="92"/>
    <n v="8600"/>
    <n v="28"/>
    <n v="8"/>
    <s v="Yes"/>
    <n v="8"/>
    <n v="50600"/>
    <n v="0"/>
    <n v="4.5"/>
    <n v="68800"/>
    <x v="10"/>
    <n v="0.8125"/>
    <n v="2097325"/>
  </r>
  <r>
    <x v="2"/>
    <s v="Americas"/>
    <d v="2023-03-08T00:00:00"/>
    <d v="2023-03-20T00:00:00"/>
    <d v="2023-03-27T00:00:00"/>
    <s v="Circuits"/>
    <n v="400"/>
    <n v="12"/>
    <s v="Road"/>
    <s v="No"/>
    <s v="Yes"/>
    <n v="85"/>
    <n v="8200"/>
    <n v="19"/>
    <n v="7"/>
    <s v="Yes"/>
    <n v="7"/>
    <n v="34000"/>
    <n v="0"/>
    <n v="4"/>
    <n v="57400"/>
    <x v="2"/>
    <n v="0.8125"/>
    <n v="2097325"/>
  </r>
  <r>
    <x v="20"/>
    <s v="EMEA"/>
    <d v="2023-03-10T00:00:00"/>
    <d v="2023-03-25T00:00:00"/>
    <d v="2023-03-27T00:00:00"/>
    <s v="Bearings"/>
    <n v="1700"/>
    <n v="15"/>
    <s v="Air"/>
    <s v="No"/>
    <s v="Yes"/>
    <n v="50"/>
    <n v="9300"/>
    <n v="17"/>
    <n v="2"/>
    <s v="Yes"/>
    <n v="2"/>
    <n v="85000"/>
    <n v="0"/>
    <n v="1.5"/>
    <n v="18600"/>
    <x v="4"/>
    <n v="0.8125"/>
    <n v="2097325"/>
  </r>
  <r>
    <x v="3"/>
    <s v="APAC"/>
    <d v="2023-03-12T00:00:00"/>
    <d v="2023-04-01T00:00:00"/>
    <d v="2023-04-18T00:00:00"/>
    <s v="Motors"/>
    <n v="600"/>
    <n v="20"/>
    <s v="Sea"/>
    <s v="Yes"/>
    <s v="Yes"/>
    <n v="220"/>
    <n v="12000"/>
    <n v="37"/>
    <n v="17"/>
    <s v="Yes"/>
    <n v="17"/>
    <n v="132000"/>
    <n v="0"/>
    <n v="8.5"/>
    <n v="204000"/>
    <x v="3"/>
    <n v="0.8125"/>
    <n v="2097325"/>
  </r>
  <r>
    <x v="21"/>
    <s v="Americas"/>
    <d v="2023-03-15T00:00:00"/>
    <d v="2023-03-30T00:00:00"/>
    <d v="2023-03-29T00:00:00"/>
    <s v="Sensors"/>
    <n v="950"/>
    <n v="15"/>
    <s v="Air"/>
    <s v="No"/>
    <s v="No"/>
    <n v="68"/>
    <n v="4300"/>
    <n v="14"/>
    <n v="-1"/>
    <s v="No"/>
    <n v="0"/>
    <n v="64600"/>
    <n v="1"/>
    <n v="0"/>
    <n v="0"/>
    <x v="1"/>
    <n v="0.8125"/>
    <n v="2097325"/>
  </r>
  <r>
    <x v="22"/>
    <s v="APAC"/>
    <d v="2023-03-18T00:00:00"/>
    <d v="2023-04-07T00:00:00"/>
    <d v="2023-04-09T00:00:00"/>
    <s v="Controllers"/>
    <n v="380"/>
    <n v="20"/>
    <s v="Sea"/>
    <s v="No"/>
    <s v="Yes"/>
    <n v="305"/>
    <n v="14900"/>
    <n v="22"/>
    <n v="2"/>
    <s v="Yes"/>
    <n v="2"/>
    <n v="115900"/>
    <n v="0"/>
    <n v="1.5"/>
    <n v="29800"/>
    <x v="4"/>
    <n v="0.8125"/>
    <n v="2097325"/>
  </r>
  <r>
    <x v="23"/>
    <s v="EMEA"/>
    <d v="2023-03-20T00:00:00"/>
    <d v="2023-03-30T00:00:00"/>
    <d v="2023-04-02T00:00:00"/>
    <s v="Connectors"/>
    <n v="1400"/>
    <n v="10"/>
    <s v="Road"/>
    <s v="No"/>
    <s v="No"/>
    <n v="19"/>
    <n v="2600"/>
    <n v="13"/>
    <n v="3"/>
    <s v="Yes"/>
    <n v="3"/>
    <n v="26600"/>
    <n v="0"/>
    <n v="1.5"/>
    <n v="3900"/>
    <x v="5"/>
    <n v="0.8125"/>
    <n v="2097325"/>
  </r>
  <r>
    <x v="0"/>
    <s v="APAC"/>
    <d v="2023-03-22T00:00:00"/>
    <d v="2023-04-11T00:00:00"/>
    <d v="2023-04-14T00:00:00"/>
    <s v="Bearings"/>
    <n v="1250"/>
    <n v="20"/>
    <s v="Sea"/>
    <s v="No"/>
    <s v="Yes"/>
    <n v="45"/>
    <n v="9500"/>
    <n v="23"/>
    <n v="3"/>
    <s v="Yes"/>
    <n v="3"/>
    <n v="56250"/>
    <n v="0"/>
    <n v="2"/>
    <n v="28500"/>
    <x v="0"/>
    <n v="0.8125"/>
    <n v="2097325"/>
  </r>
  <r>
    <x v="24"/>
    <s v="Americas"/>
    <d v="2023-03-25T00:00:00"/>
    <d v="2023-04-09T00:00:00"/>
    <d v="2023-04-08T00:00:00"/>
    <s v="Panels"/>
    <n v="800"/>
    <n v="15"/>
    <s v="Air"/>
    <s v="No"/>
    <s v="No"/>
    <n v="122"/>
    <n v="3650"/>
    <n v="14"/>
    <n v="-1"/>
    <s v="No"/>
    <n v="0"/>
    <n v="97600"/>
    <n v="1"/>
    <n v="0"/>
    <n v="0"/>
    <x v="1"/>
    <n v="0.8125"/>
    <n v="2097325"/>
  </r>
  <r>
    <x v="25"/>
    <s v="EMEA"/>
    <d v="2023-03-28T00:00:00"/>
    <d v="2023-04-12T00:00:00"/>
    <d v="2023-04-14T00:00:00"/>
    <s v="Circuits"/>
    <n v="480"/>
    <n v="15"/>
    <s v="Road"/>
    <s v="No"/>
    <s v="Yes"/>
    <n v="91"/>
    <n v="8550"/>
    <n v="17"/>
    <n v="2"/>
    <s v="Yes"/>
    <n v="2"/>
    <n v="43680"/>
    <n v="0"/>
    <n v="1.5"/>
    <n v="17100"/>
    <x v="4"/>
    <n v="0.8125"/>
    <n v="2097325"/>
  </r>
  <r>
    <x v="26"/>
    <s v="APAC"/>
    <d v="2023-04-01T00:00:00"/>
    <d v="2023-04-21T00:00:00"/>
    <d v="2023-05-01T00:00:00"/>
    <s v="Motors"/>
    <n v="620"/>
    <n v="20"/>
    <s v="Sea"/>
    <s v="Yes"/>
    <s v="Yes"/>
    <n v="218"/>
    <n v="11900"/>
    <n v="30"/>
    <n v="10"/>
    <s v="Yes"/>
    <n v="10"/>
    <n v="135160"/>
    <n v="0"/>
    <n v="8.5"/>
    <n v="119000"/>
    <x v="11"/>
    <n v="0.8125"/>
    <n v="2097325"/>
  </r>
  <r>
    <x v="27"/>
    <s v="Americas"/>
    <d v="2023-04-03T00:00:00"/>
    <d v="2023-04-13T00:00:00"/>
    <d v="2023-04-14T00:00:00"/>
    <s v="Bearings"/>
    <n v="1850"/>
    <n v="10"/>
    <s v="Road"/>
    <s v="No"/>
    <s v="Yes"/>
    <n v="46"/>
    <n v="9100"/>
    <n v="11"/>
    <n v="1"/>
    <s v="Yes"/>
    <n v="1"/>
    <n v="85100"/>
    <n v="0"/>
    <n v="1"/>
    <n v="9100"/>
    <x v="8"/>
    <n v="0.8125"/>
    <n v="2097325"/>
  </r>
  <r>
    <x v="28"/>
    <s v="EMEA"/>
    <d v="2023-04-05T00:00:00"/>
    <d v="2023-04-20T00:00:00"/>
    <d v="2023-04-19T00:00:00"/>
    <s v="Controllers"/>
    <n v="330"/>
    <n v="15"/>
    <s v="Air"/>
    <s v="No"/>
    <s v="Yes"/>
    <n v="298"/>
    <n v="14700"/>
    <n v="14"/>
    <n v="-1"/>
    <s v="No"/>
    <n v="0"/>
    <n v="98340"/>
    <n v="1"/>
    <n v="0"/>
    <n v="0"/>
    <x v="1"/>
    <n v="0.8125"/>
    <n v="2097325"/>
  </r>
  <r>
    <x v="3"/>
    <s v="APAC"/>
    <d v="2023-04-08T00:00:00"/>
    <d v="2023-04-28T00:00:00"/>
    <d v="2023-05-05T00:00:00"/>
    <s v="Motors"/>
    <n v="680"/>
    <n v="20"/>
    <s v="Sea"/>
    <s v="No"/>
    <s v="Yes"/>
    <n v="220"/>
    <n v="12000"/>
    <n v="27"/>
    <n v="7"/>
    <s v="Yes"/>
    <n v="7"/>
    <n v="149600"/>
    <n v="0"/>
    <n v="4"/>
    <n v="84000"/>
    <x v="3"/>
    <n v="0.8125"/>
    <n v="2097325"/>
  </r>
  <r>
    <x v="29"/>
    <s v="Americas"/>
    <d v="2023-04-10T00:00:00"/>
    <d v="2023-04-25T00:00:00"/>
    <d v="2023-04-24T00:00:00"/>
    <s v="Connectors"/>
    <n v="1600"/>
    <n v="15"/>
    <s v="Air"/>
    <s v="No"/>
    <s v="No"/>
    <n v="16"/>
    <n v="2300"/>
    <n v="14"/>
    <n v="-1"/>
    <s v="No"/>
    <n v="0"/>
    <n v="25600"/>
    <n v="1"/>
    <n v="0"/>
    <n v="0"/>
    <x v="1"/>
    <n v="0.8125"/>
    <n v="2097325"/>
  </r>
  <r>
    <x v="30"/>
    <s v="APAC"/>
    <d v="2023-04-12T00:00:00"/>
    <d v="2023-05-02T00:00:00"/>
    <d v="2023-05-03T00:00:00"/>
    <s v="Panels"/>
    <n v="920"/>
    <n v="20"/>
    <s v="Sea"/>
    <s v="No"/>
    <s v="No"/>
    <n v="117"/>
    <n v="3550"/>
    <n v="21"/>
    <n v="1"/>
    <s v="Yes"/>
    <n v="1"/>
    <n v="107640"/>
    <n v="0"/>
    <n v="0.5"/>
    <n v="1775"/>
    <x v="8"/>
    <n v="0.8125"/>
    <n v="2097325"/>
  </r>
  <r>
    <x v="31"/>
    <s v="EMEA"/>
    <d v="2023-04-15T00:00:00"/>
    <d v="2023-04-25T00:00:00"/>
    <d v="2023-04-30T00:00:00"/>
    <s v="Sensors"/>
    <n v="650"/>
    <n v="10"/>
    <s v="Road"/>
    <s v="No"/>
    <s v="No"/>
    <n v="72"/>
    <n v="4600"/>
    <n v="15"/>
    <n v="5"/>
    <s v="Yes"/>
    <n v="5"/>
    <n v="46800"/>
    <n v="0"/>
    <n v="2.5"/>
    <n v="11500"/>
    <x v="12"/>
    <n v="0.8125"/>
    <n v="2097325"/>
  </r>
  <r>
    <x v="32"/>
    <s v="Americas"/>
    <d v="2023-04-18T00:00:00"/>
    <d v="2023-05-03T00:00:00"/>
    <d v="2023-05-10T00:00:00"/>
    <s v="Circuits"/>
    <n v="520"/>
    <n v="15"/>
    <s v="Road"/>
    <s v="No"/>
    <s v="Yes"/>
    <n v="87"/>
    <n v="8400"/>
    <n v="22"/>
    <n v="7"/>
    <s v="Yes"/>
    <n v="7"/>
    <n v="45240"/>
    <n v="0"/>
    <n v="4"/>
    <n v="58800"/>
    <x v="2"/>
    <n v="0.8125"/>
    <n v="2097325"/>
  </r>
  <r>
    <x v="0"/>
    <s v="APAC"/>
    <d v="2023-04-20T00:00:00"/>
    <d v="2023-05-10T00:00:00"/>
    <d v="2023-05-19T00:00:00"/>
    <s v="Bearings"/>
    <n v="1350"/>
    <n v="20"/>
    <s v="Sea"/>
    <s v="Yes"/>
    <s v="Yes"/>
    <n v="45"/>
    <n v="9500"/>
    <n v="29"/>
    <n v="9"/>
    <s v="Yes"/>
    <n v="9"/>
    <n v="60750"/>
    <n v="0"/>
    <n v="8"/>
    <n v="85500"/>
    <x v="0"/>
    <n v="0.8125"/>
    <n v="2097325"/>
  </r>
  <r>
    <x v="33"/>
    <s v="EMEA"/>
    <d v="2023-04-22T00:00:00"/>
    <d v="2023-05-07T00:00:00"/>
    <d v="2023-05-06T00:00:00"/>
    <s v="Controllers"/>
    <n v="370"/>
    <n v="15"/>
    <s v="Air"/>
    <s v="No"/>
    <s v="Yes"/>
    <n v="302"/>
    <n v="14850"/>
    <n v="14"/>
    <n v="-1"/>
    <s v="No"/>
    <n v="0"/>
    <n v="111740"/>
    <n v="1"/>
    <n v="0"/>
    <n v="0"/>
    <x v="1"/>
    <n v="0.8125"/>
    <n v="2097325"/>
  </r>
  <r>
    <x v="34"/>
    <s v="APAC"/>
    <d v="2023-04-25T00:00:00"/>
    <d v="2023-05-15T00:00:00"/>
    <d v="2023-05-29T00:00:00"/>
    <s v="Motors"/>
    <n v="580"/>
    <n v="20"/>
    <s v="Sea"/>
    <s v="Yes"/>
    <s v="Yes"/>
    <n v="212"/>
    <n v="11700"/>
    <n v="34"/>
    <n v="14"/>
    <s v="Yes"/>
    <n v="14"/>
    <n v="122960"/>
    <n v="0"/>
    <n v="8.5"/>
    <n v="163800"/>
    <x v="13"/>
    <n v="0.8125"/>
    <n v="2097325"/>
  </r>
  <r>
    <x v="35"/>
    <s v="Americas"/>
    <d v="2023-04-28T00:00:00"/>
    <d v="2023-05-08T00:00:00"/>
    <d v="2023-05-07T00:00:00"/>
    <s v="Connectors"/>
    <n v="1550"/>
    <n v="10"/>
    <s v="Road"/>
    <s v="No"/>
    <s v="No"/>
    <n v="18"/>
    <n v="2500"/>
    <n v="9"/>
    <n v="-1"/>
    <s v="No"/>
    <n v="0"/>
    <n v="27900"/>
    <n v="1"/>
    <n v="0"/>
    <n v="0"/>
    <x v="1"/>
    <n v="0.8125"/>
    <n v="2097325"/>
  </r>
  <r>
    <x v="36"/>
    <s v="EMEA"/>
    <d v="2023-05-01T00:00:00"/>
    <d v="2023-05-11T00:00:00"/>
    <d v="2023-05-13T00:00:00"/>
    <s v="Panels"/>
    <n v="880"/>
    <n v="10"/>
    <s v="Road"/>
    <s v="No"/>
    <s v="No"/>
    <n v="121"/>
    <n v="3650"/>
    <n v="12"/>
    <n v="2"/>
    <s v="Yes"/>
    <n v="2"/>
    <n v="106480"/>
    <n v="0"/>
    <n v="1"/>
    <n v="3650"/>
    <x v="4"/>
    <n v="0.8125"/>
    <n v="2097325"/>
  </r>
  <r>
    <x v="37"/>
    <s v="APAC"/>
    <d v="2023-05-03T00:00:00"/>
    <d v="2023-05-23T00:00:00"/>
    <d v="2023-05-28T00:00:00"/>
    <s v="Circuits"/>
    <n v="470"/>
    <n v="20"/>
    <s v="Sea"/>
    <s v="No"/>
    <s v="Yes"/>
    <n v="89"/>
    <n v="8450"/>
    <n v="25"/>
    <n v="5"/>
    <s v="Yes"/>
    <n v="5"/>
    <n v="41830"/>
    <n v="0"/>
    <n v="3"/>
    <n v="42250"/>
    <x v="12"/>
    <n v="0.8125"/>
    <n v="2097325"/>
  </r>
  <r>
    <x v="38"/>
    <s v="Americas"/>
    <d v="2023-05-06T00:00:00"/>
    <d v="2023-05-16T00:00:00"/>
    <d v="2023-05-17T00:00:00"/>
    <s v="Bearings"/>
    <n v="1900"/>
    <n v="10"/>
    <s v="Air"/>
    <s v="No"/>
    <s v="Yes"/>
    <n v="47"/>
    <n v="9150"/>
    <n v="11"/>
    <n v="1"/>
    <s v="Yes"/>
    <n v="1"/>
    <n v="89300"/>
    <n v="0"/>
    <n v="1"/>
    <n v="9150"/>
    <x v="8"/>
    <n v="0.8125"/>
    <n v="2097325"/>
  </r>
  <r>
    <x v="39"/>
    <s v="EMEA"/>
    <d v="2023-05-08T00:00:00"/>
    <d v="2023-05-23T00:00:00"/>
    <d v="2023-05-24T00:00:00"/>
    <s v="Controllers"/>
    <n v="340"/>
    <n v="15"/>
    <s v="Road"/>
    <s v="No"/>
    <s v="Yes"/>
    <n v="297"/>
    <n v="14650"/>
    <n v="16"/>
    <n v="1"/>
    <s v="Yes"/>
    <n v="1"/>
    <n v="100980"/>
    <n v="0"/>
    <n v="1"/>
    <n v="14650"/>
    <x v="8"/>
    <n v="0.8125"/>
    <n v="2097325"/>
  </r>
  <r>
    <x v="3"/>
    <s v="APAC"/>
    <d v="2023-05-10T00:00:00"/>
    <d v="2023-05-30T00:00:00"/>
    <d v="2023-06-12T00:00:00"/>
    <s v="Motors"/>
    <n v="670"/>
    <n v="20"/>
    <s v="Sea"/>
    <s v="Yes"/>
    <s v="Yes"/>
    <n v="220"/>
    <n v="12000"/>
    <n v="33"/>
    <n v="13"/>
    <s v="Yes"/>
    <n v="13"/>
    <n v="147400"/>
    <n v="0"/>
    <n v="8.5"/>
    <n v="156000"/>
    <x v="3"/>
    <n v="0.8125"/>
    <n v="2097325"/>
  </r>
  <r>
    <x v="40"/>
    <s v="Americas"/>
    <d v="2023-05-12T00:00:00"/>
    <d v="2023-05-27T00:00:00"/>
    <d v="2023-05-26T00:00:00"/>
    <s v="Sensors"/>
    <n v="980"/>
    <n v="15"/>
    <s v="Air"/>
    <s v="No"/>
    <s v="No"/>
    <n v="69"/>
    <n v="4400"/>
    <n v="14"/>
    <n v="-1"/>
    <s v="No"/>
    <n v="0"/>
    <n v="67620"/>
    <n v="1"/>
    <n v="0"/>
    <n v="0"/>
    <x v="1"/>
    <n v="0.8125"/>
    <n v="2097325"/>
  </r>
  <r>
    <x v="41"/>
    <s v="APAC"/>
    <d v="2023-05-15T00:00:00"/>
    <d v="2023-06-04T00:00:00"/>
    <d v="2023-06-06T00:00:00"/>
    <s v="Panels"/>
    <n v="910"/>
    <n v="20"/>
    <s v="Sea"/>
    <s v="No"/>
    <s v="No"/>
    <n v="119"/>
    <n v="3600"/>
    <n v="22"/>
    <n v="2"/>
    <s v="Yes"/>
    <n v="2"/>
    <n v="108290"/>
    <n v="0"/>
    <n v="1"/>
    <n v="3600"/>
    <x v="4"/>
    <n v="0.8125"/>
    <n v="2097325"/>
  </r>
  <r>
    <x v="42"/>
    <s v="EMEA"/>
    <d v="2023-05-18T00:00:00"/>
    <d v="2023-05-28T00:00:00"/>
    <d v="2023-06-01T00:00:00"/>
    <s v="Connectors"/>
    <n v="1350"/>
    <n v="10"/>
    <s v="Road"/>
    <s v="No"/>
    <s v="No"/>
    <n v="19"/>
    <n v="2600"/>
    <n v="14"/>
    <n v="4"/>
    <s v="Yes"/>
    <n v="4"/>
    <n v="25650"/>
    <n v="0"/>
    <n v="2"/>
    <n v="5200"/>
    <x v="7"/>
    <n v="0.8125"/>
    <n v="2097325"/>
  </r>
  <r>
    <x v="2"/>
    <s v="Americas"/>
    <d v="2023-05-20T00:00:00"/>
    <d v="2023-06-01T00:00:00"/>
    <d v="2023-06-08T00:00:00"/>
    <s v="Circuits"/>
    <n v="430"/>
    <n v="12"/>
    <s v="Road"/>
    <s v="No"/>
    <s v="Yes"/>
    <n v="85"/>
    <n v="8200"/>
    <n v="19"/>
    <n v="7"/>
    <s v="Yes"/>
    <n v="7"/>
    <n v="36550"/>
    <n v="0"/>
    <n v="4"/>
    <n v="57400"/>
    <x v="2"/>
    <n v="0.8125"/>
    <n v="2097325"/>
  </r>
  <r>
    <x v="0"/>
    <s v="APAC"/>
    <d v="2023-05-22T00:00:00"/>
    <d v="2023-06-11T00:00:00"/>
    <d v="2023-06-16T00:00:00"/>
    <s v="Bearings"/>
    <n v="1280"/>
    <n v="20"/>
    <s v="Sea"/>
    <s v="No"/>
    <s v="Yes"/>
    <n v="45"/>
    <n v="9500"/>
    <n v="25"/>
    <n v="5"/>
    <s v="Yes"/>
    <n v="5"/>
    <n v="57600"/>
    <n v="0"/>
    <n v="3"/>
    <n v="47500"/>
    <x v="0"/>
    <n v="0.8125"/>
    <n v="2097325"/>
  </r>
  <r>
    <x v="43"/>
    <s v="EMEA"/>
    <d v="2023-05-25T00:00:00"/>
    <d v="2023-06-09T00:00:00"/>
    <d v="2023-06-08T00:00:00"/>
    <s v="Controllers"/>
    <n v="360"/>
    <n v="15"/>
    <s v="Air"/>
    <s v="No"/>
    <s v="Yes"/>
    <n v="299"/>
    <n v="14750"/>
    <n v="14"/>
    <n v="-1"/>
    <s v="No"/>
    <n v="0"/>
    <n v="107640"/>
    <n v="1"/>
    <n v="0"/>
    <n v="0"/>
    <x v="1"/>
    <n v="0.8125"/>
    <n v="2097325"/>
  </r>
  <r>
    <x v="44"/>
    <s v="Americas"/>
    <d v="2023-05-28T00:00:00"/>
    <d v="2023-06-07T00:00:00"/>
    <d v="2023-06-06T00:00:00"/>
    <s v="Motors"/>
    <n v="590"/>
    <n v="10"/>
    <s v="Air"/>
    <s v="No"/>
    <s v="Yes"/>
    <n v="225"/>
    <n v="12200"/>
    <n v="9"/>
    <n v="-1"/>
    <s v="No"/>
    <n v="0"/>
    <n v="132750"/>
    <n v="1"/>
    <n v="0"/>
    <n v="0"/>
    <x v="1"/>
    <n v="0.8125"/>
    <n v="2097325"/>
  </r>
  <r>
    <x v="45"/>
    <s v="APAC"/>
    <d v="2023-06-01T00:00:00"/>
    <d v="2023-06-21T00:00:00"/>
    <d v="2023-07-01T00:00:00"/>
    <s v="Circuits"/>
    <n v="540"/>
    <n v="20"/>
    <s v="Sea"/>
    <s v="Yes"/>
    <s v="Yes"/>
    <n v="86"/>
    <n v="8300"/>
    <n v="30"/>
    <n v="10"/>
    <s v="Yes"/>
    <n v="10"/>
    <n v="46440"/>
    <n v="0"/>
    <n v="8.5"/>
    <n v="83000"/>
    <x v="11"/>
    <n v="0.8125"/>
    <n v="2097325"/>
  </r>
  <r>
    <x v="46"/>
    <s v="EMEA"/>
    <d v="2023-06-03T00:00:00"/>
    <d v="2023-06-13T00:00:00"/>
    <d v="2023-06-15T00:00:00"/>
    <s v="Sensors"/>
    <n v="700"/>
    <n v="10"/>
    <s v="Road"/>
    <s v="No"/>
    <s v="No"/>
    <n v="71"/>
    <n v="4550"/>
    <n v="12"/>
    <n v="2"/>
    <s v="Yes"/>
    <n v="2"/>
    <n v="49700"/>
    <n v="0"/>
    <n v="1"/>
    <n v="4550"/>
    <x v="4"/>
    <n v="0.8125"/>
    <n v="2097325"/>
  </r>
  <r>
    <x v="47"/>
    <s v="Americas"/>
    <d v="2023-06-05T00:00:00"/>
    <d v="2023-06-20T00:00:00"/>
    <d v="2023-06-19T00:00:00"/>
    <s v="Panels"/>
    <n v="850"/>
    <n v="15"/>
    <s v="Air"/>
    <s v="No"/>
    <s v="No"/>
    <n v="123"/>
    <n v="3700"/>
    <n v="14"/>
    <n v="-1"/>
    <s v="No"/>
    <n v="0"/>
    <n v="104550"/>
    <n v="1"/>
    <n v="0"/>
    <n v="0"/>
    <x v="1"/>
    <n v="0.8125"/>
    <n v="2097325"/>
  </r>
  <r>
    <x v="48"/>
    <s v="APAC"/>
    <d v="2023-06-08T00:00:00"/>
    <d v="2023-06-28T00:00:00"/>
    <d v="2023-07-05T00:00:00"/>
    <s v="Bearings"/>
    <n v="1380"/>
    <n v="20"/>
    <s v="Sea"/>
    <s v="No"/>
    <s v="Yes"/>
    <n v="49"/>
    <n v="9250"/>
    <n v="27"/>
    <n v="7"/>
    <s v="Yes"/>
    <n v="7"/>
    <n v="67620"/>
    <n v="0"/>
    <n v="4"/>
    <n v="64750"/>
    <x v="2"/>
    <n v="0.8125"/>
    <n v="2097325"/>
  </r>
  <r>
    <x v="49"/>
    <s v="EMEA"/>
    <d v="2023-06-10T00:00:00"/>
    <d v="2023-06-25T00:00:00"/>
    <d v="2023-06-28T00:00:00"/>
    <s v="Controllers"/>
    <n v="320"/>
    <n v="15"/>
    <s v="Road"/>
    <s v="No"/>
    <s v="Yes"/>
    <n v="301"/>
    <n v="14800"/>
    <n v="18"/>
    <n v="3"/>
    <s v="Yes"/>
    <n v="3"/>
    <n v="96320"/>
    <n v="0"/>
    <n v="2"/>
    <n v="44400"/>
    <x v="5"/>
    <n v="0.8125"/>
    <n v="20973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54" firstHeaderRow="0" firstDataRow="1" firstDataCol="1" rowPageCount="1" colPageCount="1"/>
  <pivotFields count="24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15">
        <item x="1"/>
        <item x="8"/>
        <item x="4"/>
        <item x="5"/>
        <item x="7"/>
        <item x="12"/>
        <item x="0"/>
        <item x="2"/>
        <item x="10"/>
        <item x="11"/>
        <item x="6"/>
        <item x="3"/>
        <item x="13"/>
        <item x="9"/>
        <item t="default"/>
      </items>
    </pivotField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hier="-1"/>
  </pageFields>
  <dataFields count="3">
    <dataField name="Sum of Average Delay by Supplier:2" fld="21" baseField="0" baseItem="0"/>
    <dataField name="Average of Average Delay by Supplier:" fld="21" subtotal="average" baseField="0" baseItem="0"/>
    <dataField name="Sum of Average Delay by Supplier:" fld="21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X63" totalsRowShown="0" headerRowDxfId="26" dataDxfId="25">
  <autoFilter ref="A1:X63">
    <filterColumn colId="21">
      <filters>
        <filter val="10"/>
        <filter val="12"/>
        <filter val="12.8"/>
        <filter val="14"/>
        <filter val="15"/>
        <filter val="5"/>
        <filter val="5.5"/>
        <filter val="7"/>
        <filter val="8"/>
      </filters>
    </filterColumn>
  </autoFilter>
  <tableColumns count="24">
    <tableColumn id="1" name="Supplier_ID" dataDxfId="24"/>
    <tableColumn id="2" name="Region" dataDxfId="23"/>
    <tableColumn id="3" name="Shipment_Date" dataDxfId="22"/>
    <tableColumn id="4" name="Expected_Delivery_Date" dataDxfId="21"/>
    <tableColumn id="5" name="Actual_Delivery_Date" dataDxfId="20"/>
    <tableColumn id="6" name="Product_Type" dataDxfId="19"/>
    <tableColumn id="7" name="Order_Quantity" dataDxfId="18"/>
    <tableColumn id="8" name="Lead_Time_Predicted" dataDxfId="17"/>
    <tableColumn id="9" name="Transport_Mode" dataDxfId="16"/>
    <tableColumn id="10" name="Global_Disruption_Flag" dataDxfId="15"/>
    <tableColumn id="11" name="Is_Critical_Component" dataDxfId="14"/>
    <tableColumn id="12" name="Unit_Cost" dataDxfId="13"/>
    <tableColumn id="13" name="Production_Impact_Cost" dataDxfId="12"/>
    <tableColumn id="14" name="Actual_Lead_Time" dataDxfId="11">
      <calculatedColumnFormula>DATEDIF(C2, E2, "D")</calculatedColumnFormula>
    </tableColumn>
    <tableColumn id="15" name="Lead_Time_Variance" dataDxfId="10">
      <calculatedColumnFormula>N2-H2</calculatedColumnFormula>
    </tableColumn>
    <tableColumn id="16" name="Is_Delayed" dataDxfId="9">
      <calculatedColumnFormula>IF(E2&gt;D2, "Yes", "No")</calculatedColumnFormula>
    </tableColumn>
    <tableColumn id="17" name="Delay_Days" dataDxfId="8">
      <calculatedColumnFormula>IF(P2="Yes", DATEDIF(D2, E2, "D"), 0)</calculatedColumnFormula>
    </tableColumn>
    <tableColumn id="18" name="Total_Order_Value" dataDxfId="7">
      <calculatedColumnFormula>G2*L2</calculatedColumnFormula>
    </tableColumn>
    <tableColumn id="19" name="Supplier_Reliability_Score" dataDxfId="6">
      <calculatedColumnFormula>COUNTIFS(A:A, A2,P:P, "No")/COUNTIF(A:A, A2)</calculatedColumnFormula>
    </tableColumn>
    <tableColumn id="20" name="Delay_Risk_Score" dataDxfId="5">
      <calculatedColumnFormula>IF(Q2=0, 0, (IF(K2="Yes", 0.5, 0) + IF(J2="Yes", 3, 0) + MIN(Q2/2, 5)))</calculatedColumnFormula>
    </tableColumn>
    <tableColumn id="21" name="Potential_Financial_Impact" dataDxfId="4">
      <calculatedColumnFormula>IF(P2="No", 0, (Q2*M2*IF(K2="Yes", 1, 0.5)))</calculatedColumnFormula>
    </tableColumn>
    <tableColumn id="22" name="Average Delay by Supplier:" dataDxfId="3">
      <calculatedColumnFormula>AVERAGEIF(A:A, A2,Q:Q)</calculatedColumnFormula>
    </tableColumn>
    <tableColumn id="23" name="Reliability by Transport Mode" dataDxfId="2">
      <calculatedColumnFormula>AVERAGEIFS(S:S,I:I,"AIR")</calculatedColumnFormula>
    </tableColumn>
    <tableColumn id="24" name="Total Financial Impact by Region" dataDxfId="1">
      <calculatedColumnFormula>SUMIFS(U:U,B:B, "APAC")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U1048576" totalsRowShown="0" headerRowDxfId="0">
  <autoFilter ref="A1:U1048576"/>
  <tableColumns count="21">
    <tableColumn id="1" name="Supplier_ID"/>
    <tableColumn id="2" name="Region"/>
    <tableColumn id="3" name="Shipment_Date"/>
    <tableColumn id="4" name="Expected_Delivery_Date"/>
    <tableColumn id="5" name="Actual_Delivery_Date"/>
    <tableColumn id="6" name="Product_Type"/>
    <tableColumn id="7" name="Order_Quantity"/>
    <tableColumn id="8" name="Lead_Time_Predicted"/>
    <tableColumn id="9" name="Transport_Mode"/>
    <tableColumn id="10" name="Global_Disruption_Flag"/>
    <tableColumn id="11" name="Is_Critical_Component"/>
    <tableColumn id="12" name="Unit_Cost"/>
    <tableColumn id="13" name="Production_Impact_Cost"/>
    <tableColumn id="14" name="Actual_Lead_Time"/>
    <tableColumn id="15" name="Lead_Time_Variance"/>
    <tableColumn id="16" name="Is_Delayed"/>
    <tableColumn id="17" name="Delay_Days"/>
    <tableColumn id="18" name="Total_Order_Value"/>
    <tableColumn id="19" name="Supplier_Reliability_Score"/>
    <tableColumn id="20" name="Delay_Risk_Score"/>
    <tableColumn id="21" name="Potential_Financial_Impac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D20" sqref="D20"/>
    </sheetView>
  </sheetViews>
  <sheetFormatPr defaultRowHeight="12.75" x14ac:dyDescent="0.2"/>
  <cols>
    <col min="1" max="1" width="23.7109375" bestFit="1" customWidth="1"/>
    <col min="2" max="2" width="34.7109375" bestFit="1" customWidth="1"/>
    <col min="3" max="3" width="37.140625" bestFit="1" customWidth="1"/>
    <col min="4" max="4" width="33.5703125" bestFit="1" customWidth="1"/>
    <col min="5" max="50" width="23.7109375" bestFit="1" customWidth="1"/>
    <col min="51" max="51" width="11.7109375" bestFit="1" customWidth="1"/>
  </cols>
  <sheetData>
    <row r="1" spans="1:4" x14ac:dyDescent="0.2">
      <c r="A1" s="5" t="s">
        <v>89</v>
      </c>
      <c r="B1" t="s">
        <v>90</v>
      </c>
    </row>
    <row r="3" spans="1:4" x14ac:dyDescent="0.2">
      <c r="A3" s="5" t="s">
        <v>92</v>
      </c>
      <c r="B3" t="s">
        <v>94</v>
      </c>
      <c r="C3" t="s">
        <v>95</v>
      </c>
      <c r="D3" t="s">
        <v>93</v>
      </c>
    </row>
    <row r="4" spans="1:4" x14ac:dyDescent="0.2">
      <c r="A4" s="6" t="s">
        <v>21</v>
      </c>
      <c r="B4" s="7">
        <v>33</v>
      </c>
      <c r="C4" s="7">
        <v>5.5</v>
      </c>
      <c r="D4" s="7">
        <v>33</v>
      </c>
    </row>
    <row r="5" spans="1:4" x14ac:dyDescent="0.2">
      <c r="A5" s="6" t="s">
        <v>27</v>
      </c>
      <c r="B5" s="7">
        <v>0</v>
      </c>
      <c r="C5" s="7">
        <v>0</v>
      </c>
      <c r="D5" s="7">
        <v>0</v>
      </c>
    </row>
    <row r="6" spans="1:4" x14ac:dyDescent="0.2">
      <c r="A6" s="6" t="s">
        <v>31</v>
      </c>
      <c r="B6" s="7">
        <v>21</v>
      </c>
      <c r="C6" s="7">
        <v>7</v>
      </c>
      <c r="D6" s="7">
        <v>21</v>
      </c>
    </row>
    <row r="7" spans="1:4" x14ac:dyDescent="0.2">
      <c r="A7" s="6" t="s">
        <v>35</v>
      </c>
      <c r="B7" s="7">
        <v>64</v>
      </c>
      <c r="C7" s="7">
        <v>12.8</v>
      </c>
      <c r="D7" s="7">
        <v>64</v>
      </c>
    </row>
    <row r="8" spans="1:4" x14ac:dyDescent="0.2">
      <c r="A8" s="6" t="s">
        <v>37</v>
      </c>
      <c r="B8" s="7">
        <v>2</v>
      </c>
      <c r="C8" s="7">
        <v>2</v>
      </c>
      <c r="D8" s="7">
        <v>2</v>
      </c>
    </row>
    <row r="9" spans="1:4" x14ac:dyDescent="0.2">
      <c r="A9" s="6" t="s">
        <v>39</v>
      </c>
      <c r="B9" s="7">
        <v>3</v>
      </c>
      <c r="C9" s="7">
        <v>3</v>
      </c>
      <c r="D9" s="7">
        <v>3</v>
      </c>
    </row>
    <row r="10" spans="1:4" x14ac:dyDescent="0.2">
      <c r="A10" s="6" t="s">
        <v>40</v>
      </c>
      <c r="B10" s="7">
        <v>12</v>
      </c>
      <c r="C10" s="7">
        <v>12</v>
      </c>
      <c r="D10" s="7">
        <v>12</v>
      </c>
    </row>
    <row r="11" spans="1:4" x14ac:dyDescent="0.2">
      <c r="A11" s="6" t="s">
        <v>43</v>
      </c>
      <c r="B11" s="7">
        <v>0</v>
      </c>
      <c r="C11" s="7">
        <v>0</v>
      </c>
      <c r="D11" s="7">
        <v>0</v>
      </c>
    </row>
    <row r="12" spans="1:4" x14ac:dyDescent="0.2">
      <c r="A12" s="6" t="s">
        <v>44</v>
      </c>
      <c r="B12" s="7">
        <v>12</v>
      </c>
      <c r="C12" s="7">
        <v>12</v>
      </c>
      <c r="D12" s="7">
        <v>12</v>
      </c>
    </row>
    <row r="13" spans="1:4" x14ac:dyDescent="0.2">
      <c r="A13" s="6" t="s">
        <v>45</v>
      </c>
      <c r="B13" s="7">
        <v>4</v>
      </c>
      <c r="C13" s="7">
        <v>4</v>
      </c>
      <c r="D13" s="7">
        <v>4</v>
      </c>
    </row>
    <row r="14" spans="1:4" x14ac:dyDescent="0.2">
      <c r="A14" s="6" t="s">
        <v>46</v>
      </c>
      <c r="B14" s="7">
        <v>1</v>
      </c>
      <c r="C14" s="7">
        <v>1</v>
      </c>
      <c r="D14" s="7">
        <v>1</v>
      </c>
    </row>
    <row r="15" spans="1:4" x14ac:dyDescent="0.2">
      <c r="A15" s="6" t="s">
        <v>47</v>
      </c>
      <c r="B15" s="7">
        <v>0</v>
      </c>
      <c r="C15" s="7">
        <v>0</v>
      </c>
      <c r="D15" s="7">
        <v>0</v>
      </c>
    </row>
    <row r="16" spans="1:4" x14ac:dyDescent="0.2">
      <c r="A16" s="6" t="s">
        <v>48</v>
      </c>
      <c r="B16" s="7">
        <v>3</v>
      </c>
      <c r="C16" s="7">
        <v>3</v>
      </c>
      <c r="D16" s="7">
        <v>3</v>
      </c>
    </row>
    <row r="17" spans="1:4" x14ac:dyDescent="0.2">
      <c r="A17" s="6" t="s">
        <v>49</v>
      </c>
      <c r="B17" s="7">
        <v>1</v>
      </c>
      <c r="C17" s="7">
        <v>1</v>
      </c>
      <c r="D17" s="7">
        <v>1</v>
      </c>
    </row>
    <row r="18" spans="1:4" x14ac:dyDescent="0.2">
      <c r="A18" s="6" t="s">
        <v>50</v>
      </c>
      <c r="B18" s="7">
        <v>7</v>
      </c>
      <c r="C18" s="7">
        <v>7</v>
      </c>
      <c r="D18" s="7">
        <v>7</v>
      </c>
    </row>
    <row r="19" spans="1:4" x14ac:dyDescent="0.2">
      <c r="A19" s="6" t="s">
        <v>51</v>
      </c>
      <c r="B19" s="7">
        <v>2</v>
      </c>
      <c r="C19" s="7">
        <v>2</v>
      </c>
      <c r="D19" s="7">
        <v>2</v>
      </c>
    </row>
    <row r="20" spans="1:4" x14ac:dyDescent="0.2">
      <c r="A20" s="6" t="s">
        <v>52</v>
      </c>
      <c r="B20" s="7">
        <v>15</v>
      </c>
      <c r="C20" s="7">
        <v>15</v>
      </c>
      <c r="D20" s="7">
        <v>15</v>
      </c>
    </row>
    <row r="21" spans="1:4" x14ac:dyDescent="0.2">
      <c r="A21" s="6" t="s">
        <v>53</v>
      </c>
      <c r="B21" s="7">
        <v>2</v>
      </c>
      <c r="C21" s="7">
        <v>2</v>
      </c>
      <c r="D21" s="7">
        <v>2</v>
      </c>
    </row>
    <row r="22" spans="1:4" x14ac:dyDescent="0.2">
      <c r="A22" s="6" t="s">
        <v>54</v>
      </c>
      <c r="B22" s="7">
        <v>2</v>
      </c>
      <c r="C22" s="7">
        <v>2</v>
      </c>
      <c r="D22" s="7">
        <v>2</v>
      </c>
    </row>
    <row r="23" spans="1:4" x14ac:dyDescent="0.2">
      <c r="A23" s="6" t="s">
        <v>55</v>
      </c>
      <c r="B23" s="7">
        <v>8</v>
      </c>
      <c r="C23" s="7">
        <v>8</v>
      </c>
      <c r="D23" s="7">
        <v>8</v>
      </c>
    </row>
    <row r="24" spans="1:4" x14ac:dyDescent="0.2">
      <c r="A24" s="6" t="s">
        <v>56</v>
      </c>
      <c r="B24" s="7">
        <v>2</v>
      </c>
      <c r="C24" s="7">
        <v>2</v>
      </c>
      <c r="D24" s="7">
        <v>2</v>
      </c>
    </row>
    <row r="25" spans="1:4" x14ac:dyDescent="0.2">
      <c r="A25" s="6" t="s">
        <v>57</v>
      </c>
      <c r="B25" s="7">
        <v>0</v>
      </c>
      <c r="C25" s="7">
        <v>0</v>
      </c>
      <c r="D25" s="7">
        <v>0</v>
      </c>
    </row>
    <row r="26" spans="1:4" x14ac:dyDescent="0.2">
      <c r="A26" s="6" t="s">
        <v>58</v>
      </c>
      <c r="B26" s="7">
        <v>2</v>
      </c>
      <c r="C26" s="7">
        <v>2</v>
      </c>
      <c r="D26" s="7">
        <v>2</v>
      </c>
    </row>
    <row r="27" spans="1:4" x14ac:dyDescent="0.2">
      <c r="A27" s="6" t="s">
        <v>59</v>
      </c>
      <c r="B27" s="7">
        <v>3</v>
      </c>
      <c r="C27" s="7">
        <v>3</v>
      </c>
      <c r="D27" s="7">
        <v>3</v>
      </c>
    </row>
    <row r="28" spans="1:4" x14ac:dyDescent="0.2">
      <c r="A28" s="6" t="s">
        <v>60</v>
      </c>
      <c r="B28" s="7">
        <v>0</v>
      </c>
      <c r="C28" s="7">
        <v>0</v>
      </c>
      <c r="D28" s="7">
        <v>0</v>
      </c>
    </row>
    <row r="29" spans="1:4" x14ac:dyDescent="0.2">
      <c r="A29" s="6" t="s">
        <v>61</v>
      </c>
      <c r="B29" s="7">
        <v>2</v>
      </c>
      <c r="C29" s="7">
        <v>2</v>
      </c>
      <c r="D29" s="7">
        <v>2</v>
      </c>
    </row>
    <row r="30" spans="1:4" x14ac:dyDescent="0.2">
      <c r="A30" s="6" t="s">
        <v>62</v>
      </c>
      <c r="B30" s="7">
        <v>10</v>
      </c>
      <c r="C30" s="7">
        <v>10</v>
      </c>
      <c r="D30" s="7">
        <v>10</v>
      </c>
    </row>
    <row r="31" spans="1:4" x14ac:dyDescent="0.2">
      <c r="A31" s="6" t="s">
        <v>63</v>
      </c>
      <c r="B31" s="7">
        <v>1</v>
      </c>
      <c r="C31" s="7">
        <v>1</v>
      </c>
      <c r="D31" s="7">
        <v>1</v>
      </c>
    </row>
    <row r="32" spans="1:4" x14ac:dyDescent="0.2">
      <c r="A32" s="6" t="s">
        <v>64</v>
      </c>
      <c r="B32" s="7">
        <v>0</v>
      </c>
      <c r="C32" s="7">
        <v>0</v>
      </c>
      <c r="D32" s="7">
        <v>0</v>
      </c>
    </row>
    <row r="33" spans="1:4" x14ac:dyDescent="0.2">
      <c r="A33" s="6" t="s">
        <v>65</v>
      </c>
      <c r="B33" s="7">
        <v>0</v>
      </c>
      <c r="C33" s="7">
        <v>0</v>
      </c>
      <c r="D33" s="7">
        <v>0</v>
      </c>
    </row>
    <row r="34" spans="1:4" x14ac:dyDescent="0.2">
      <c r="A34" s="6" t="s">
        <v>66</v>
      </c>
      <c r="B34" s="7">
        <v>1</v>
      </c>
      <c r="C34" s="7">
        <v>1</v>
      </c>
      <c r="D34" s="7">
        <v>1</v>
      </c>
    </row>
    <row r="35" spans="1:4" x14ac:dyDescent="0.2">
      <c r="A35" s="6" t="s">
        <v>67</v>
      </c>
      <c r="B35" s="7">
        <v>5</v>
      </c>
      <c r="C35" s="7">
        <v>5</v>
      </c>
      <c r="D35" s="7">
        <v>5</v>
      </c>
    </row>
    <row r="36" spans="1:4" x14ac:dyDescent="0.2">
      <c r="A36" s="6" t="s">
        <v>68</v>
      </c>
      <c r="B36" s="7">
        <v>7</v>
      </c>
      <c r="C36" s="7">
        <v>7</v>
      </c>
      <c r="D36" s="7">
        <v>7</v>
      </c>
    </row>
    <row r="37" spans="1:4" x14ac:dyDescent="0.2">
      <c r="A37" s="6" t="s">
        <v>69</v>
      </c>
      <c r="B37" s="7">
        <v>0</v>
      </c>
      <c r="C37" s="7">
        <v>0</v>
      </c>
      <c r="D37" s="7">
        <v>0</v>
      </c>
    </row>
    <row r="38" spans="1:4" x14ac:dyDescent="0.2">
      <c r="A38" s="6" t="s">
        <v>70</v>
      </c>
      <c r="B38" s="7">
        <v>14</v>
      </c>
      <c r="C38" s="7">
        <v>14</v>
      </c>
      <c r="D38" s="7">
        <v>14</v>
      </c>
    </row>
    <row r="39" spans="1:4" x14ac:dyDescent="0.2">
      <c r="A39" s="6" t="s">
        <v>71</v>
      </c>
      <c r="B39" s="7">
        <v>0</v>
      </c>
      <c r="C39" s="7">
        <v>0</v>
      </c>
      <c r="D39" s="7">
        <v>0</v>
      </c>
    </row>
    <row r="40" spans="1:4" x14ac:dyDescent="0.2">
      <c r="A40" s="6" t="s">
        <v>72</v>
      </c>
      <c r="B40" s="7">
        <v>2</v>
      </c>
      <c r="C40" s="7">
        <v>2</v>
      </c>
      <c r="D40" s="7">
        <v>2</v>
      </c>
    </row>
    <row r="41" spans="1:4" x14ac:dyDescent="0.2">
      <c r="A41" s="6" t="s">
        <v>73</v>
      </c>
      <c r="B41" s="7">
        <v>5</v>
      </c>
      <c r="C41" s="7">
        <v>5</v>
      </c>
      <c r="D41" s="7">
        <v>5</v>
      </c>
    </row>
    <row r="42" spans="1:4" x14ac:dyDescent="0.2">
      <c r="A42" s="6" t="s">
        <v>74</v>
      </c>
      <c r="B42" s="7">
        <v>1</v>
      </c>
      <c r="C42" s="7">
        <v>1</v>
      </c>
      <c r="D42" s="7">
        <v>1</v>
      </c>
    </row>
    <row r="43" spans="1:4" x14ac:dyDescent="0.2">
      <c r="A43" s="6" t="s">
        <v>75</v>
      </c>
      <c r="B43" s="7">
        <v>1</v>
      </c>
      <c r="C43" s="7">
        <v>1</v>
      </c>
      <c r="D43" s="7">
        <v>1</v>
      </c>
    </row>
    <row r="44" spans="1:4" x14ac:dyDescent="0.2">
      <c r="A44" s="6" t="s">
        <v>76</v>
      </c>
      <c r="B44" s="7">
        <v>0</v>
      </c>
      <c r="C44" s="7">
        <v>0</v>
      </c>
      <c r="D44" s="7">
        <v>0</v>
      </c>
    </row>
    <row r="45" spans="1:4" x14ac:dyDescent="0.2">
      <c r="A45" s="6" t="s">
        <v>77</v>
      </c>
      <c r="B45" s="7">
        <v>2</v>
      </c>
      <c r="C45" s="7">
        <v>2</v>
      </c>
      <c r="D45" s="7">
        <v>2</v>
      </c>
    </row>
    <row r="46" spans="1:4" x14ac:dyDescent="0.2">
      <c r="A46" s="6" t="s">
        <v>78</v>
      </c>
      <c r="B46" s="7">
        <v>4</v>
      </c>
      <c r="C46" s="7">
        <v>4</v>
      </c>
      <c r="D46" s="7">
        <v>4</v>
      </c>
    </row>
    <row r="47" spans="1:4" x14ac:dyDescent="0.2">
      <c r="A47" s="6" t="s">
        <v>79</v>
      </c>
      <c r="B47" s="7">
        <v>0</v>
      </c>
      <c r="C47" s="7">
        <v>0</v>
      </c>
      <c r="D47" s="7">
        <v>0</v>
      </c>
    </row>
    <row r="48" spans="1:4" x14ac:dyDescent="0.2">
      <c r="A48" s="6" t="s">
        <v>80</v>
      </c>
      <c r="B48" s="7">
        <v>0</v>
      </c>
      <c r="C48" s="7">
        <v>0</v>
      </c>
      <c r="D48" s="7">
        <v>0</v>
      </c>
    </row>
    <row r="49" spans="1:4" x14ac:dyDescent="0.2">
      <c r="A49" s="6" t="s">
        <v>81</v>
      </c>
      <c r="B49" s="7">
        <v>10</v>
      </c>
      <c r="C49" s="7">
        <v>10</v>
      </c>
      <c r="D49" s="7">
        <v>10</v>
      </c>
    </row>
    <row r="50" spans="1:4" x14ac:dyDescent="0.2">
      <c r="A50" s="6" t="s">
        <v>82</v>
      </c>
      <c r="B50" s="7">
        <v>2</v>
      </c>
      <c r="C50" s="7">
        <v>2</v>
      </c>
      <c r="D50" s="7">
        <v>2</v>
      </c>
    </row>
    <row r="51" spans="1:4" x14ac:dyDescent="0.2">
      <c r="A51" s="6" t="s">
        <v>83</v>
      </c>
      <c r="B51" s="7">
        <v>0</v>
      </c>
      <c r="C51" s="7">
        <v>0</v>
      </c>
      <c r="D51" s="7">
        <v>0</v>
      </c>
    </row>
    <row r="52" spans="1:4" x14ac:dyDescent="0.2">
      <c r="A52" s="6" t="s">
        <v>84</v>
      </c>
      <c r="B52" s="7">
        <v>7</v>
      </c>
      <c r="C52" s="7">
        <v>7</v>
      </c>
      <c r="D52" s="7">
        <v>7</v>
      </c>
    </row>
    <row r="53" spans="1:4" x14ac:dyDescent="0.2">
      <c r="A53" s="6" t="s">
        <v>85</v>
      </c>
      <c r="B53" s="7">
        <v>3</v>
      </c>
      <c r="C53" s="7">
        <v>3</v>
      </c>
      <c r="D53" s="7">
        <v>3</v>
      </c>
    </row>
    <row r="54" spans="1:4" x14ac:dyDescent="0.2">
      <c r="A54" s="6" t="s">
        <v>91</v>
      </c>
      <c r="B54" s="7">
        <v>276</v>
      </c>
      <c r="C54" s="7">
        <v>4.4516129032258061</v>
      </c>
      <c r="D54" s="7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63"/>
  <sheetViews>
    <sheetView topLeftCell="S1" workbookViewId="0">
      <pane ySplit="1" topLeftCell="A2" activePane="bottomLeft" state="frozen"/>
      <selection pane="bottomLeft" activeCell="T4" sqref="T4"/>
    </sheetView>
  </sheetViews>
  <sheetFormatPr defaultColWidth="12.5703125" defaultRowHeight="15.75" customHeight="1" x14ac:dyDescent="0.2"/>
  <cols>
    <col min="1" max="1" width="13.85546875" bestFit="1" customWidth="1"/>
    <col min="2" max="2" width="9.7109375" bestFit="1" customWidth="1"/>
    <col min="3" max="3" width="17.28515625" bestFit="1" customWidth="1"/>
    <col min="4" max="4" width="25.7109375" bestFit="1" customWidth="1"/>
    <col min="5" max="5" width="22.85546875" bestFit="1" customWidth="1"/>
    <col min="6" max="6" width="15.85546875" bestFit="1" customWidth="1"/>
    <col min="7" max="7" width="17.140625" bestFit="1" customWidth="1"/>
    <col min="8" max="8" width="23.42578125" bestFit="1" customWidth="1"/>
    <col min="9" max="9" width="18" bestFit="1" customWidth="1"/>
    <col min="10" max="10" width="24.85546875" bestFit="1" customWidth="1"/>
    <col min="11" max="11" width="24" bestFit="1" customWidth="1"/>
    <col min="12" max="12" width="11.7109375" bestFit="1" customWidth="1"/>
    <col min="13" max="13" width="25.5703125" bestFit="1" customWidth="1"/>
    <col min="14" max="14" width="20.42578125" bestFit="1" customWidth="1"/>
    <col min="15" max="15" width="22.85546875" bestFit="1" customWidth="1"/>
    <col min="16" max="16" width="13.140625" bestFit="1" customWidth="1"/>
    <col min="17" max="17" width="13.7109375" bestFit="1" customWidth="1"/>
    <col min="18" max="18" width="20.5703125" bestFit="1" customWidth="1"/>
    <col min="19" max="19" width="28" bestFit="1" customWidth="1"/>
    <col min="20" max="20" width="19.7109375" bestFit="1" customWidth="1"/>
    <col min="21" max="21" width="28.5703125" bestFit="1" customWidth="1"/>
    <col min="22" max="22" width="28.7109375" bestFit="1" customWidth="1"/>
    <col min="23" max="23" width="30.42578125" bestFit="1" customWidth="1"/>
    <col min="24" max="24" width="34.5703125" bestFit="1" customWidth="1"/>
  </cols>
  <sheetData>
    <row r="1" spans="1:24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86</v>
      </c>
      <c r="W1" s="4" t="s">
        <v>87</v>
      </c>
      <c r="X1" s="4" t="s">
        <v>88</v>
      </c>
    </row>
    <row r="2" spans="1:24" ht="12.75" x14ac:dyDescent="0.2">
      <c r="A2" s="1" t="s">
        <v>21</v>
      </c>
      <c r="B2" s="1" t="s">
        <v>22</v>
      </c>
      <c r="C2" s="2">
        <v>44931</v>
      </c>
      <c r="D2" s="2">
        <v>44951</v>
      </c>
      <c r="E2" s="2">
        <v>44956</v>
      </c>
      <c r="F2" s="1" t="s">
        <v>23</v>
      </c>
      <c r="G2" s="1">
        <v>1200</v>
      </c>
      <c r="H2" s="1">
        <v>20</v>
      </c>
      <c r="I2" s="1" t="s">
        <v>24</v>
      </c>
      <c r="J2" s="1" t="s">
        <v>25</v>
      </c>
      <c r="K2" s="1" t="s">
        <v>26</v>
      </c>
      <c r="L2" s="1">
        <v>45</v>
      </c>
      <c r="M2" s="1">
        <v>9500</v>
      </c>
      <c r="N2" s="3">
        <f t="shared" ref="N2:N63" si="0">DATEDIF(C2, E2, "D")</f>
        <v>25</v>
      </c>
      <c r="O2" s="3">
        <f t="shared" ref="O2:O63" si="1">N2-H2</f>
        <v>5</v>
      </c>
      <c r="P2" s="3" t="str">
        <f t="shared" ref="P2:P63" si="2">IF(E2&gt;D2, "Yes", "No")</f>
        <v>Yes</v>
      </c>
      <c r="Q2" s="3">
        <f t="shared" ref="Q2:Q63" si="3">IF(P2="Yes", DATEDIF(D2, E2, "D"), 0)</f>
        <v>5</v>
      </c>
      <c r="R2" s="3">
        <f t="shared" ref="R2:R63" si="4">G2*L2</f>
        <v>54000</v>
      </c>
      <c r="S2" s="3">
        <f t="shared" ref="S2:S33" si="5">COUNTIFS(A:A, A2,P:P, "No")/COUNTIF(A:A, A2)</f>
        <v>0</v>
      </c>
      <c r="T2" s="3">
        <f t="shared" ref="T2:T63" si="6">IF(Q2=0, 0, (IF(K2="Yes", 0.5, 0) + IF(J2="Yes", 3, 0) + MIN(Q2/2, 5)))</f>
        <v>3</v>
      </c>
      <c r="U2" s="3">
        <f t="shared" ref="U2:U63" si="7">IF(P2="No", 0, (Q2*M2*IF(K2="Yes", 1, 0.5)))</f>
        <v>47500</v>
      </c>
      <c r="V2" s="1">
        <f t="shared" ref="V2:V33" si="8">AVERAGEIF(A:A, A2,Q:Q)</f>
        <v>5.5</v>
      </c>
      <c r="W2" s="1">
        <f t="shared" ref="W2:W33" si="9">AVERAGEIFS(S:S,I:I,"AIR")</f>
        <v>0.8125</v>
      </c>
      <c r="X2" s="1">
        <f>SUMIFS(U:U,B:B, "APAC")</f>
        <v>2097325</v>
      </c>
    </row>
    <row r="3" spans="1:24" ht="12.75" hidden="1" x14ac:dyDescent="0.2">
      <c r="A3" s="1" t="s">
        <v>27</v>
      </c>
      <c r="B3" s="1" t="s">
        <v>28</v>
      </c>
      <c r="C3" s="2">
        <v>44933</v>
      </c>
      <c r="D3" s="2">
        <v>44943</v>
      </c>
      <c r="E3" s="2">
        <v>44942</v>
      </c>
      <c r="F3" s="1" t="s">
        <v>29</v>
      </c>
      <c r="G3" s="1">
        <v>800</v>
      </c>
      <c r="H3" s="1">
        <v>10</v>
      </c>
      <c r="I3" s="1" t="s">
        <v>30</v>
      </c>
      <c r="J3" s="1" t="s">
        <v>25</v>
      </c>
      <c r="K3" s="1" t="s">
        <v>25</v>
      </c>
      <c r="L3" s="1">
        <v>120</v>
      </c>
      <c r="M3" s="1">
        <v>3600</v>
      </c>
      <c r="N3" s="3">
        <f t="shared" si="0"/>
        <v>9</v>
      </c>
      <c r="O3" s="3">
        <f t="shared" si="1"/>
        <v>-1</v>
      </c>
      <c r="P3" s="3" t="str">
        <f t="shared" si="2"/>
        <v>No</v>
      </c>
      <c r="Q3" s="3">
        <f t="shared" si="3"/>
        <v>0</v>
      </c>
      <c r="R3" s="3">
        <f t="shared" si="4"/>
        <v>96000</v>
      </c>
      <c r="S3" s="3">
        <f t="shared" si="5"/>
        <v>1</v>
      </c>
      <c r="T3" s="3">
        <f t="shared" si="6"/>
        <v>0</v>
      </c>
      <c r="U3" s="3">
        <f t="shared" si="7"/>
        <v>0</v>
      </c>
      <c r="V3" s="1">
        <f t="shared" si="8"/>
        <v>0</v>
      </c>
      <c r="W3" s="1">
        <f t="shared" si="9"/>
        <v>0.8125</v>
      </c>
      <c r="X3" s="1">
        <f t="shared" ref="X3:X33" si="10">SUMIFS(U:U,B:B, "APAC")</f>
        <v>2097325</v>
      </c>
    </row>
    <row r="4" spans="1:24" ht="12.75" x14ac:dyDescent="0.2">
      <c r="A4" s="1" t="s">
        <v>31</v>
      </c>
      <c r="B4" s="1" t="s">
        <v>32</v>
      </c>
      <c r="C4" s="2">
        <v>44936</v>
      </c>
      <c r="D4" s="2">
        <v>44948</v>
      </c>
      <c r="E4" s="2">
        <v>44955</v>
      </c>
      <c r="F4" s="1" t="s">
        <v>33</v>
      </c>
      <c r="G4" s="1">
        <v>350</v>
      </c>
      <c r="H4" s="1">
        <v>12</v>
      </c>
      <c r="I4" s="1" t="s">
        <v>34</v>
      </c>
      <c r="J4" s="1" t="s">
        <v>25</v>
      </c>
      <c r="K4" s="1" t="s">
        <v>26</v>
      </c>
      <c r="L4" s="1">
        <v>85</v>
      </c>
      <c r="M4" s="1">
        <v>8200</v>
      </c>
      <c r="N4" s="3">
        <f t="shared" si="0"/>
        <v>19</v>
      </c>
      <c r="O4" s="3">
        <f t="shared" si="1"/>
        <v>7</v>
      </c>
      <c r="P4" s="3" t="str">
        <f t="shared" si="2"/>
        <v>Yes</v>
      </c>
      <c r="Q4" s="3">
        <f t="shared" si="3"/>
        <v>7</v>
      </c>
      <c r="R4" s="3">
        <f t="shared" si="4"/>
        <v>29750</v>
      </c>
      <c r="S4" s="3">
        <f t="shared" si="5"/>
        <v>0</v>
      </c>
      <c r="T4" s="3">
        <f t="shared" si="6"/>
        <v>4</v>
      </c>
      <c r="U4" s="3">
        <f t="shared" si="7"/>
        <v>57400</v>
      </c>
      <c r="V4" s="1">
        <f t="shared" si="8"/>
        <v>7</v>
      </c>
      <c r="W4" s="1">
        <f t="shared" si="9"/>
        <v>0.8125</v>
      </c>
      <c r="X4" s="1">
        <f t="shared" si="10"/>
        <v>2097325</v>
      </c>
    </row>
    <row r="5" spans="1:24" ht="12.75" x14ac:dyDescent="0.2">
      <c r="A5" s="1" t="s">
        <v>35</v>
      </c>
      <c r="B5" s="1" t="s">
        <v>22</v>
      </c>
      <c r="C5" s="2">
        <v>44938</v>
      </c>
      <c r="D5" s="2">
        <v>44958</v>
      </c>
      <c r="E5" s="2">
        <v>44972</v>
      </c>
      <c r="F5" s="1" t="s">
        <v>36</v>
      </c>
      <c r="G5" s="1">
        <v>650</v>
      </c>
      <c r="H5" s="1">
        <v>20</v>
      </c>
      <c r="I5" s="1" t="s">
        <v>24</v>
      </c>
      <c r="J5" s="1" t="s">
        <v>26</v>
      </c>
      <c r="K5" s="1" t="s">
        <v>26</v>
      </c>
      <c r="L5" s="1">
        <v>220</v>
      </c>
      <c r="M5" s="1">
        <v>12000</v>
      </c>
      <c r="N5" s="3">
        <f t="shared" si="0"/>
        <v>34</v>
      </c>
      <c r="O5" s="3">
        <f t="shared" si="1"/>
        <v>14</v>
      </c>
      <c r="P5" s="3" t="str">
        <f t="shared" si="2"/>
        <v>Yes</v>
      </c>
      <c r="Q5" s="3">
        <f t="shared" si="3"/>
        <v>14</v>
      </c>
      <c r="R5" s="3">
        <f t="shared" si="4"/>
        <v>143000</v>
      </c>
      <c r="S5" s="3">
        <f t="shared" si="5"/>
        <v>0</v>
      </c>
      <c r="T5" s="3">
        <f t="shared" si="6"/>
        <v>8.5</v>
      </c>
      <c r="U5" s="3">
        <f t="shared" si="7"/>
        <v>168000</v>
      </c>
      <c r="V5" s="1">
        <f t="shared" si="8"/>
        <v>12.8</v>
      </c>
      <c r="W5" s="1">
        <f t="shared" si="9"/>
        <v>0.8125</v>
      </c>
      <c r="X5" s="1">
        <f t="shared" si="10"/>
        <v>2097325</v>
      </c>
    </row>
    <row r="6" spans="1:24" ht="12.75" hidden="1" x14ac:dyDescent="0.2">
      <c r="A6" s="1" t="s">
        <v>37</v>
      </c>
      <c r="B6" s="1" t="s">
        <v>28</v>
      </c>
      <c r="C6" s="2">
        <v>44941</v>
      </c>
      <c r="D6" s="2">
        <v>44951</v>
      </c>
      <c r="E6" s="2">
        <v>44953</v>
      </c>
      <c r="F6" s="1" t="s">
        <v>38</v>
      </c>
      <c r="G6" s="1">
        <v>1500</v>
      </c>
      <c r="H6" s="1">
        <v>10</v>
      </c>
      <c r="I6" s="1" t="s">
        <v>34</v>
      </c>
      <c r="J6" s="1" t="s">
        <v>25</v>
      </c>
      <c r="K6" s="1" t="s">
        <v>25</v>
      </c>
      <c r="L6" s="1">
        <v>18</v>
      </c>
      <c r="M6" s="1">
        <v>2500</v>
      </c>
      <c r="N6" s="3">
        <f t="shared" si="0"/>
        <v>12</v>
      </c>
      <c r="O6" s="3">
        <f t="shared" si="1"/>
        <v>2</v>
      </c>
      <c r="P6" s="3" t="str">
        <f t="shared" si="2"/>
        <v>Yes</v>
      </c>
      <c r="Q6" s="3">
        <f t="shared" si="3"/>
        <v>2</v>
      </c>
      <c r="R6" s="3">
        <f t="shared" si="4"/>
        <v>27000</v>
      </c>
      <c r="S6" s="3">
        <f t="shared" si="5"/>
        <v>0</v>
      </c>
      <c r="T6" s="3">
        <f t="shared" si="6"/>
        <v>1</v>
      </c>
      <c r="U6" s="3">
        <f t="shared" si="7"/>
        <v>2500</v>
      </c>
      <c r="V6" s="1">
        <f t="shared" si="8"/>
        <v>2</v>
      </c>
      <c r="W6" s="1">
        <f t="shared" si="9"/>
        <v>0.8125</v>
      </c>
      <c r="X6" s="1">
        <f t="shared" si="10"/>
        <v>2097325</v>
      </c>
    </row>
    <row r="7" spans="1:24" ht="12.75" hidden="1" x14ac:dyDescent="0.2">
      <c r="A7" s="1" t="s">
        <v>39</v>
      </c>
      <c r="B7" s="1" t="s">
        <v>28</v>
      </c>
      <c r="C7" s="2">
        <v>44944</v>
      </c>
      <c r="D7" s="2">
        <v>44954</v>
      </c>
      <c r="E7" s="2">
        <v>44957</v>
      </c>
      <c r="F7" s="1" t="s">
        <v>23</v>
      </c>
      <c r="G7" s="1">
        <v>950</v>
      </c>
      <c r="H7" s="1">
        <v>10</v>
      </c>
      <c r="I7" s="1" t="s">
        <v>34</v>
      </c>
      <c r="J7" s="1" t="s">
        <v>25</v>
      </c>
      <c r="K7" s="1" t="s">
        <v>26</v>
      </c>
      <c r="L7" s="1">
        <v>52</v>
      </c>
      <c r="M7" s="1">
        <v>9000</v>
      </c>
      <c r="N7" s="3">
        <f t="shared" si="0"/>
        <v>13</v>
      </c>
      <c r="O7" s="3">
        <f t="shared" si="1"/>
        <v>3</v>
      </c>
      <c r="P7" s="3" t="str">
        <f t="shared" si="2"/>
        <v>Yes</v>
      </c>
      <c r="Q7" s="3">
        <f t="shared" si="3"/>
        <v>3</v>
      </c>
      <c r="R7" s="3">
        <f t="shared" si="4"/>
        <v>49400</v>
      </c>
      <c r="S7" s="3">
        <f t="shared" si="5"/>
        <v>0</v>
      </c>
      <c r="T7" s="3">
        <f t="shared" si="6"/>
        <v>2</v>
      </c>
      <c r="U7" s="3">
        <f t="shared" si="7"/>
        <v>27000</v>
      </c>
      <c r="V7" s="1">
        <f t="shared" si="8"/>
        <v>3</v>
      </c>
      <c r="W7" s="1">
        <f t="shared" si="9"/>
        <v>0.8125</v>
      </c>
      <c r="X7" s="1">
        <f t="shared" si="10"/>
        <v>2097325</v>
      </c>
    </row>
    <row r="8" spans="1:24" ht="12.75" x14ac:dyDescent="0.2">
      <c r="A8" s="1" t="s">
        <v>40</v>
      </c>
      <c r="B8" s="1" t="s">
        <v>22</v>
      </c>
      <c r="C8" s="2">
        <v>44946</v>
      </c>
      <c r="D8" s="2">
        <v>44966</v>
      </c>
      <c r="E8" s="2">
        <v>44978</v>
      </c>
      <c r="F8" s="1" t="s">
        <v>41</v>
      </c>
      <c r="G8" s="1">
        <v>400</v>
      </c>
      <c r="H8" s="1">
        <v>20</v>
      </c>
      <c r="I8" s="1" t="s">
        <v>24</v>
      </c>
      <c r="J8" s="1" t="s">
        <v>26</v>
      </c>
      <c r="K8" s="1" t="s">
        <v>26</v>
      </c>
      <c r="L8" s="1">
        <v>310</v>
      </c>
      <c r="M8" s="1">
        <v>15000</v>
      </c>
      <c r="N8" s="3">
        <f t="shared" si="0"/>
        <v>32</v>
      </c>
      <c r="O8" s="3">
        <f t="shared" si="1"/>
        <v>12</v>
      </c>
      <c r="P8" s="3" t="str">
        <f t="shared" si="2"/>
        <v>Yes</v>
      </c>
      <c r="Q8" s="3">
        <f t="shared" si="3"/>
        <v>12</v>
      </c>
      <c r="R8" s="3">
        <f t="shared" si="4"/>
        <v>124000</v>
      </c>
      <c r="S8" s="3">
        <f t="shared" si="5"/>
        <v>0</v>
      </c>
      <c r="T8" s="3">
        <f t="shared" si="6"/>
        <v>8.5</v>
      </c>
      <c r="U8" s="3">
        <f t="shared" si="7"/>
        <v>180000</v>
      </c>
      <c r="V8" s="1">
        <f t="shared" si="8"/>
        <v>12</v>
      </c>
      <c r="W8" s="1">
        <f t="shared" si="9"/>
        <v>0.8125</v>
      </c>
      <c r="X8" s="1">
        <f t="shared" si="10"/>
        <v>2097325</v>
      </c>
    </row>
    <row r="9" spans="1:24" ht="12.75" x14ac:dyDescent="0.2">
      <c r="A9" s="1" t="s">
        <v>21</v>
      </c>
      <c r="B9" s="1" t="s">
        <v>22</v>
      </c>
      <c r="C9" s="2">
        <v>44948</v>
      </c>
      <c r="D9" s="2">
        <v>44968</v>
      </c>
      <c r="E9" s="2">
        <v>44971</v>
      </c>
      <c r="F9" s="1" t="s">
        <v>42</v>
      </c>
      <c r="G9" s="1">
        <v>1100</v>
      </c>
      <c r="H9" s="1">
        <v>20</v>
      </c>
      <c r="I9" s="1" t="s">
        <v>24</v>
      </c>
      <c r="J9" s="1" t="s">
        <v>25</v>
      </c>
      <c r="K9" s="1" t="s">
        <v>25</v>
      </c>
      <c r="L9" s="1">
        <v>65</v>
      </c>
      <c r="M9" s="1">
        <v>4200</v>
      </c>
      <c r="N9" s="3">
        <f t="shared" si="0"/>
        <v>23</v>
      </c>
      <c r="O9" s="3">
        <f t="shared" si="1"/>
        <v>3</v>
      </c>
      <c r="P9" s="3" t="str">
        <f t="shared" si="2"/>
        <v>Yes</v>
      </c>
      <c r="Q9" s="3">
        <f t="shared" si="3"/>
        <v>3</v>
      </c>
      <c r="R9" s="3">
        <f t="shared" si="4"/>
        <v>71500</v>
      </c>
      <c r="S9" s="3">
        <f t="shared" si="5"/>
        <v>0</v>
      </c>
      <c r="T9" s="3">
        <f t="shared" si="6"/>
        <v>1.5</v>
      </c>
      <c r="U9" s="3">
        <f t="shared" si="7"/>
        <v>6300</v>
      </c>
      <c r="V9" s="1">
        <f t="shared" si="8"/>
        <v>5.5</v>
      </c>
      <c r="W9" s="1">
        <f t="shared" si="9"/>
        <v>0.8125</v>
      </c>
      <c r="X9" s="1">
        <f t="shared" si="10"/>
        <v>2097325</v>
      </c>
    </row>
    <row r="10" spans="1:24" ht="12.75" hidden="1" x14ac:dyDescent="0.2">
      <c r="A10" s="1" t="s">
        <v>43</v>
      </c>
      <c r="B10" s="1" t="s">
        <v>32</v>
      </c>
      <c r="C10" s="2">
        <v>44951</v>
      </c>
      <c r="D10" s="2">
        <v>44961</v>
      </c>
      <c r="E10" s="2">
        <v>44961</v>
      </c>
      <c r="F10" s="1" t="s">
        <v>29</v>
      </c>
      <c r="G10" s="1">
        <v>750</v>
      </c>
      <c r="H10" s="1">
        <v>10</v>
      </c>
      <c r="I10" s="1" t="s">
        <v>30</v>
      </c>
      <c r="J10" s="1" t="s">
        <v>25</v>
      </c>
      <c r="K10" s="1" t="s">
        <v>25</v>
      </c>
      <c r="L10" s="1">
        <v>115</v>
      </c>
      <c r="M10" s="1">
        <v>3400</v>
      </c>
      <c r="N10" s="3">
        <f t="shared" si="0"/>
        <v>10</v>
      </c>
      <c r="O10" s="3">
        <f t="shared" si="1"/>
        <v>0</v>
      </c>
      <c r="P10" s="3" t="str">
        <f t="shared" si="2"/>
        <v>No</v>
      </c>
      <c r="Q10" s="3">
        <f t="shared" si="3"/>
        <v>0</v>
      </c>
      <c r="R10" s="3">
        <f t="shared" si="4"/>
        <v>86250</v>
      </c>
      <c r="S10" s="3">
        <f t="shared" si="5"/>
        <v>1</v>
      </c>
      <c r="T10" s="3">
        <f t="shared" si="6"/>
        <v>0</v>
      </c>
      <c r="U10" s="3">
        <f t="shared" si="7"/>
        <v>0</v>
      </c>
      <c r="V10" s="1">
        <f t="shared" si="8"/>
        <v>0</v>
      </c>
      <c r="W10" s="1">
        <f t="shared" si="9"/>
        <v>0.8125</v>
      </c>
      <c r="X10" s="1">
        <f t="shared" si="10"/>
        <v>2097325</v>
      </c>
    </row>
    <row r="11" spans="1:24" ht="12.75" x14ac:dyDescent="0.2">
      <c r="A11" s="1" t="s">
        <v>44</v>
      </c>
      <c r="B11" s="1" t="s">
        <v>22</v>
      </c>
      <c r="C11" s="2">
        <v>44954</v>
      </c>
      <c r="D11" s="2">
        <v>44974</v>
      </c>
      <c r="E11" s="2">
        <v>44986</v>
      </c>
      <c r="F11" s="1" t="s">
        <v>33</v>
      </c>
      <c r="G11" s="1">
        <v>500</v>
      </c>
      <c r="H11" s="1">
        <v>20</v>
      </c>
      <c r="I11" s="1" t="s">
        <v>24</v>
      </c>
      <c r="J11" s="1" t="s">
        <v>26</v>
      </c>
      <c r="K11" s="1" t="s">
        <v>26</v>
      </c>
      <c r="L11" s="1">
        <v>90</v>
      </c>
      <c r="M11" s="1">
        <v>8500</v>
      </c>
      <c r="N11" s="3">
        <f t="shared" si="0"/>
        <v>32</v>
      </c>
      <c r="O11" s="3">
        <f t="shared" si="1"/>
        <v>12</v>
      </c>
      <c r="P11" s="3" t="str">
        <f t="shared" si="2"/>
        <v>Yes</v>
      </c>
      <c r="Q11" s="3">
        <f t="shared" si="3"/>
        <v>12</v>
      </c>
      <c r="R11" s="3">
        <f t="shared" si="4"/>
        <v>45000</v>
      </c>
      <c r="S11" s="3">
        <f t="shared" si="5"/>
        <v>0</v>
      </c>
      <c r="T11" s="3">
        <f t="shared" si="6"/>
        <v>8.5</v>
      </c>
      <c r="U11" s="3">
        <f t="shared" si="7"/>
        <v>102000</v>
      </c>
      <c r="V11" s="1">
        <f t="shared" si="8"/>
        <v>12</v>
      </c>
      <c r="W11" s="1">
        <f t="shared" si="9"/>
        <v>0.8125</v>
      </c>
      <c r="X11" s="1">
        <f t="shared" si="10"/>
        <v>2097325</v>
      </c>
    </row>
    <row r="12" spans="1:24" ht="12.75" hidden="1" x14ac:dyDescent="0.2">
      <c r="A12" s="1" t="s">
        <v>45</v>
      </c>
      <c r="B12" s="1" t="s">
        <v>28</v>
      </c>
      <c r="C12" s="2">
        <v>44958</v>
      </c>
      <c r="D12" s="2">
        <v>44968</v>
      </c>
      <c r="E12" s="2">
        <v>44972</v>
      </c>
      <c r="F12" s="1" t="s">
        <v>23</v>
      </c>
      <c r="G12" s="1">
        <v>2000</v>
      </c>
      <c r="H12" s="1">
        <v>10</v>
      </c>
      <c r="I12" s="1" t="s">
        <v>34</v>
      </c>
      <c r="J12" s="1" t="s">
        <v>25</v>
      </c>
      <c r="K12" s="1" t="s">
        <v>26</v>
      </c>
      <c r="L12" s="1">
        <v>48</v>
      </c>
      <c r="M12" s="1">
        <v>9200</v>
      </c>
      <c r="N12" s="3">
        <f t="shared" si="0"/>
        <v>14</v>
      </c>
      <c r="O12" s="3">
        <f t="shared" si="1"/>
        <v>4</v>
      </c>
      <c r="P12" s="3" t="str">
        <f t="shared" si="2"/>
        <v>Yes</v>
      </c>
      <c r="Q12" s="3">
        <f t="shared" si="3"/>
        <v>4</v>
      </c>
      <c r="R12" s="3">
        <f t="shared" si="4"/>
        <v>96000</v>
      </c>
      <c r="S12" s="3">
        <f t="shared" si="5"/>
        <v>0</v>
      </c>
      <c r="T12" s="3">
        <f t="shared" si="6"/>
        <v>2.5</v>
      </c>
      <c r="U12" s="3">
        <f t="shared" si="7"/>
        <v>36800</v>
      </c>
      <c r="V12" s="1">
        <f t="shared" si="8"/>
        <v>4</v>
      </c>
      <c r="W12" s="1">
        <f t="shared" si="9"/>
        <v>0.8125</v>
      </c>
      <c r="X12" s="1">
        <f t="shared" si="10"/>
        <v>2097325</v>
      </c>
    </row>
    <row r="13" spans="1:24" ht="12.75" hidden="1" x14ac:dyDescent="0.2">
      <c r="A13" s="1" t="s">
        <v>46</v>
      </c>
      <c r="B13" s="1" t="s">
        <v>32</v>
      </c>
      <c r="C13" s="2">
        <v>44960</v>
      </c>
      <c r="D13" s="2">
        <v>44975</v>
      </c>
      <c r="E13" s="2">
        <v>44976</v>
      </c>
      <c r="F13" s="1" t="s">
        <v>41</v>
      </c>
      <c r="G13" s="1">
        <v>300</v>
      </c>
      <c r="H13" s="1">
        <v>15</v>
      </c>
      <c r="I13" s="1" t="s">
        <v>34</v>
      </c>
      <c r="J13" s="1" t="s">
        <v>25</v>
      </c>
      <c r="K13" s="1" t="s">
        <v>26</v>
      </c>
      <c r="L13" s="1">
        <v>295</v>
      </c>
      <c r="M13" s="1">
        <v>14500</v>
      </c>
      <c r="N13" s="3">
        <f t="shared" si="0"/>
        <v>16</v>
      </c>
      <c r="O13" s="3">
        <f t="shared" si="1"/>
        <v>1</v>
      </c>
      <c r="P13" s="3" t="str">
        <f t="shared" si="2"/>
        <v>Yes</v>
      </c>
      <c r="Q13" s="3">
        <f t="shared" si="3"/>
        <v>1</v>
      </c>
      <c r="R13" s="3">
        <f t="shared" si="4"/>
        <v>88500</v>
      </c>
      <c r="S13" s="3">
        <f t="shared" si="5"/>
        <v>0</v>
      </c>
      <c r="T13" s="3">
        <f t="shared" si="6"/>
        <v>1</v>
      </c>
      <c r="U13" s="3">
        <f t="shared" si="7"/>
        <v>14500</v>
      </c>
      <c r="V13" s="1">
        <f t="shared" si="8"/>
        <v>1</v>
      </c>
      <c r="W13" s="1">
        <f t="shared" si="9"/>
        <v>0.8125</v>
      </c>
      <c r="X13" s="1">
        <f t="shared" si="10"/>
        <v>2097325</v>
      </c>
    </row>
    <row r="14" spans="1:24" ht="12.75" x14ac:dyDescent="0.2">
      <c r="A14" s="1" t="s">
        <v>35</v>
      </c>
      <c r="B14" s="1" t="s">
        <v>22</v>
      </c>
      <c r="C14" s="2">
        <v>44962</v>
      </c>
      <c r="D14" s="2">
        <v>44982</v>
      </c>
      <c r="E14" s="2">
        <v>44995</v>
      </c>
      <c r="F14" s="1" t="s">
        <v>36</v>
      </c>
      <c r="G14" s="1">
        <v>700</v>
      </c>
      <c r="H14" s="1">
        <v>20</v>
      </c>
      <c r="I14" s="1" t="s">
        <v>24</v>
      </c>
      <c r="J14" s="1" t="s">
        <v>26</v>
      </c>
      <c r="K14" s="1" t="s">
        <v>26</v>
      </c>
      <c r="L14" s="1">
        <v>220</v>
      </c>
      <c r="M14" s="1">
        <v>12000</v>
      </c>
      <c r="N14" s="3">
        <f t="shared" si="0"/>
        <v>33</v>
      </c>
      <c r="O14" s="3">
        <f t="shared" si="1"/>
        <v>13</v>
      </c>
      <c r="P14" s="3" t="str">
        <f t="shared" si="2"/>
        <v>Yes</v>
      </c>
      <c r="Q14" s="3">
        <f t="shared" si="3"/>
        <v>13</v>
      </c>
      <c r="R14" s="3">
        <f t="shared" si="4"/>
        <v>154000</v>
      </c>
      <c r="S14" s="3">
        <f t="shared" si="5"/>
        <v>0</v>
      </c>
      <c r="T14" s="3">
        <f t="shared" si="6"/>
        <v>8.5</v>
      </c>
      <c r="U14" s="3">
        <f t="shared" si="7"/>
        <v>156000</v>
      </c>
      <c r="V14" s="1">
        <f t="shared" si="8"/>
        <v>12.8</v>
      </c>
      <c r="W14" s="1">
        <f t="shared" si="9"/>
        <v>0.8125</v>
      </c>
      <c r="X14" s="1">
        <f t="shared" si="10"/>
        <v>2097325</v>
      </c>
    </row>
    <row r="15" spans="1:24" ht="12.75" hidden="1" x14ac:dyDescent="0.2">
      <c r="A15" s="1" t="s">
        <v>47</v>
      </c>
      <c r="B15" s="1" t="s">
        <v>28</v>
      </c>
      <c r="C15" s="2">
        <v>44965</v>
      </c>
      <c r="D15" s="2">
        <v>44980</v>
      </c>
      <c r="E15" s="2">
        <v>44979</v>
      </c>
      <c r="F15" s="1" t="s">
        <v>38</v>
      </c>
      <c r="G15" s="1">
        <v>1200</v>
      </c>
      <c r="H15" s="1">
        <v>15</v>
      </c>
      <c r="I15" s="1" t="s">
        <v>30</v>
      </c>
      <c r="J15" s="1" t="s">
        <v>25</v>
      </c>
      <c r="K15" s="1" t="s">
        <v>25</v>
      </c>
      <c r="L15" s="1">
        <v>20</v>
      </c>
      <c r="M15" s="1">
        <v>2800</v>
      </c>
      <c r="N15" s="3">
        <f t="shared" si="0"/>
        <v>14</v>
      </c>
      <c r="O15" s="3">
        <f t="shared" si="1"/>
        <v>-1</v>
      </c>
      <c r="P15" s="3" t="str">
        <f t="shared" si="2"/>
        <v>No</v>
      </c>
      <c r="Q15" s="3">
        <f t="shared" si="3"/>
        <v>0</v>
      </c>
      <c r="R15" s="3">
        <f t="shared" si="4"/>
        <v>24000</v>
      </c>
      <c r="S15" s="3">
        <f t="shared" si="5"/>
        <v>1</v>
      </c>
      <c r="T15" s="3">
        <f t="shared" si="6"/>
        <v>0</v>
      </c>
      <c r="U15" s="3">
        <f t="shared" si="7"/>
        <v>0</v>
      </c>
      <c r="V15" s="1">
        <f t="shared" si="8"/>
        <v>0</v>
      </c>
      <c r="W15" s="1">
        <f t="shared" si="9"/>
        <v>0.8125</v>
      </c>
      <c r="X15" s="1">
        <f t="shared" si="10"/>
        <v>2097325</v>
      </c>
    </row>
    <row r="16" spans="1:24" ht="12.75" hidden="1" x14ac:dyDescent="0.2">
      <c r="A16" s="1" t="s">
        <v>48</v>
      </c>
      <c r="B16" s="1" t="s">
        <v>32</v>
      </c>
      <c r="C16" s="2">
        <v>44967</v>
      </c>
      <c r="D16" s="2">
        <v>44982</v>
      </c>
      <c r="E16" s="2">
        <v>44985</v>
      </c>
      <c r="F16" s="1" t="s">
        <v>29</v>
      </c>
      <c r="G16" s="1">
        <v>900</v>
      </c>
      <c r="H16" s="1">
        <v>15</v>
      </c>
      <c r="I16" s="1" t="s">
        <v>34</v>
      </c>
      <c r="J16" s="1" t="s">
        <v>25</v>
      </c>
      <c r="K16" s="1" t="s">
        <v>25</v>
      </c>
      <c r="L16" s="1">
        <v>118</v>
      </c>
      <c r="M16" s="1">
        <v>3500</v>
      </c>
      <c r="N16" s="3">
        <f t="shared" si="0"/>
        <v>18</v>
      </c>
      <c r="O16" s="3">
        <f t="shared" si="1"/>
        <v>3</v>
      </c>
      <c r="P16" s="3" t="str">
        <f t="shared" si="2"/>
        <v>Yes</v>
      </c>
      <c r="Q16" s="3">
        <f t="shared" si="3"/>
        <v>3</v>
      </c>
      <c r="R16" s="3">
        <f t="shared" si="4"/>
        <v>106200</v>
      </c>
      <c r="S16" s="3">
        <f t="shared" si="5"/>
        <v>0</v>
      </c>
      <c r="T16" s="3">
        <f t="shared" si="6"/>
        <v>1.5</v>
      </c>
      <c r="U16" s="3">
        <f t="shared" si="7"/>
        <v>5250</v>
      </c>
      <c r="V16" s="1">
        <f t="shared" si="8"/>
        <v>3</v>
      </c>
      <c r="W16" s="1">
        <f t="shared" si="9"/>
        <v>0.8125</v>
      </c>
      <c r="X16" s="1">
        <f t="shared" si="10"/>
        <v>2097325</v>
      </c>
    </row>
    <row r="17" spans="1:24" ht="12.75" hidden="1" x14ac:dyDescent="0.2">
      <c r="A17" s="1" t="s">
        <v>49</v>
      </c>
      <c r="B17" s="1" t="s">
        <v>22</v>
      </c>
      <c r="C17" s="2">
        <v>44969</v>
      </c>
      <c r="D17" s="2">
        <v>44989</v>
      </c>
      <c r="E17" s="2">
        <v>44990</v>
      </c>
      <c r="F17" s="1" t="s">
        <v>42</v>
      </c>
      <c r="G17" s="1">
        <v>600</v>
      </c>
      <c r="H17" s="1">
        <v>20</v>
      </c>
      <c r="I17" s="1" t="s">
        <v>24</v>
      </c>
      <c r="J17" s="1" t="s">
        <v>25</v>
      </c>
      <c r="K17" s="1" t="s">
        <v>25</v>
      </c>
      <c r="L17" s="1">
        <v>70</v>
      </c>
      <c r="M17" s="1">
        <v>4500</v>
      </c>
      <c r="N17" s="3">
        <f t="shared" si="0"/>
        <v>21</v>
      </c>
      <c r="O17" s="3">
        <f t="shared" si="1"/>
        <v>1</v>
      </c>
      <c r="P17" s="3" t="str">
        <f t="shared" si="2"/>
        <v>Yes</v>
      </c>
      <c r="Q17" s="3">
        <f t="shared" si="3"/>
        <v>1</v>
      </c>
      <c r="R17" s="3">
        <f t="shared" si="4"/>
        <v>42000</v>
      </c>
      <c r="S17" s="3">
        <f t="shared" si="5"/>
        <v>0</v>
      </c>
      <c r="T17" s="3">
        <f t="shared" si="6"/>
        <v>0.5</v>
      </c>
      <c r="U17" s="3">
        <f t="shared" si="7"/>
        <v>2250</v>
      </c>
      <c r="V17" s="1">
        <f t="shared" si="8"/>
        <v>1</v>
      </c>
      <c r="W17" s="1">
        <f t="shared" si="9"/>
        <v>0.8125</v>
      </c>
      <c r="X17" s="1">
        <f t="shared" si="10"/>
        <v>2097325</v>
      </c>
    </row>
    <row r="18" spans="1:24" ht="12.75" hidden="1" x14ac:dyDescent="0.2">
      <c r="A18" s="1" t="s">
        <v>27</v>
      </c>
      <c r="B18" s="1" t="s">
        <v>28</v>
      </c>
      <c r="C18" s="2">
        <v>44972</v>
      </c>
      <c r="D18" s="2">
        <v>44982</v>
      </c>
      <c r="E18" s="2">
        <v>44981</v>
      </c>
      <c r="F18" s="1" t="s">
        <v>29</v>
      </c>
      <c r="G18" s="1">
        <v>850</v>
      </c>
      <c r="H18" s="1">
        <v>10</v>
      </c>
      <c r="I18" s="1" t="s">
        <v>30</v>
      </c>
      <c r="J18" s="1" t="s">
        <v>25</v>
      </c>
      <c r="K18" s="1" t="s">
        <v>25</v>
      </c>
      <c r="L18" s="1">
        <v>120</v>
      </c>
      <c r="M18" s="1">
        <v>3600</v>
      </c>
      <c r="N18" s="3">
        <f t="shared" si="0"/>
        <v>9</v>
      </c>
      <c r="O18" s="3">
        <f t="shared" si="1"/>
        <v>-1</v>
      </c>
      <c r="P18" s="3" t="str">
        <f t="shared" si="2"/>
        <v>No</v>
      </c>
      <c r="Q18" s="3">
        <f t="shared" si="3"/>
        <v>0</v>
      </c>
      <c r="R18" s="3">
        <f t="shared" si="4"/>
        <v>102000</v>
      </c>
      <c r="S18" s="3">
        <f t="shared" si="5"/>
        <v>1</v>
      </c>
      <c r="T18" s="3">
        <f t="shared" si="6"/>
        <v>0</v>
      </c>
      <c r="U18" s="3">
        <f t="shared" si="7"/>
        <v>0</v>
      </c>
      <c r="V18" s="1">
        <f t="shared" si="8"/>
        <v>0</v>
      </c>
      <c r="W18" s="1">
        <f t="shared" si="9"/>
        <v>0.8125</v>
      </c>
      <c r="X18" s="1">
        <f t="shared" si="10"/>
        <v>2097325</v>
      </c>
    </row>
    <row r="19" spans="1:24" ht="12.75" x14ac:dyDescent="0.2">
      <c r="A19" s="1" t="s">
        <v>50</v>
      </c>
      <c r="B19" s="1" t="s">
        <v>32</v>
      </c>
      <c r="C19" s="2">
        <v>44975</v>
      </c>
      <c r="D19" s="2">
        <v>44990</v>
      </c>
      <c r="E19" s="2">
        <v>44997</v>
      </c>
      <c r="F19" s="1" t="s">
        <v>33</v>
      </c>
      <c r="G19" s="1">
        <v>450</v>
      </c>
      <c r="H19" s="1">
        <v>15</v>
      </c>
      <c r="I19" s="1" t="s">
        <v>34</v>
      </c>
      <c r="J19" s="1" t="s">
        <v>25</v>
      </c>
      <c r="K19" s="1" t="s">
        <v>26</v>
      </c>
      <c r="L19" s="1">
        <v>88</v>
      </c>
      <c r="M19" s="1">
        <v>8300</v>
      </c>
      <c r="N19" s="3">
        <f t="shared" si="0"/>
        <v>22</v>
      </c>
      <c r="O19" s="3">
        <f t="shared" si="1"/>
        <v>7</v>
      </c>
      <c r="P19" s="3" t="str">
        <f t="shared" si="2"/>
        <v>Yes</v>
      </c>
      <c r="Q19" s="3">
        <f t="shared" si="3"/>
        <v>7</v>
      </c>
      <c r="R19" s="3">
        <f t="shared" si="4"/>
        <v>39600</v>
      </c>
      <c r="S19" s="3">
        <f t="shared" si="5"/>
        <v>0</v>
      </c>
      <c r="T19" s="3">
        <f t="shared" si="6"/>
        <v>4</v>
      </c>
      <c r="U19" s="3">
        <f t="shared" si="7"/>
        <v>58100</v>
      </c>
      <c r="V19" s="1">
        <f t="shared" si="8"/>
        <v>7</v>
      </c>
      <c r="W19" s="1">
        <f t="shared" si="9"/>
        <v>0.8125</v>
      </c>
      <c r="X19" s="1">
        <f t="shared" si="10"/>
        <v>2097325</v>
      </c>
    </row>
    <row r="20" spans="1:24" ht="12.75" x14ac:dyDescent="0.2">
      <c r="A20" s="1" t="s">
        <v>21</v>
      </c>
      <c r="B20" s="1" t="s">
        <v>22</v>
      </c>
      <c r="C20" s="2">
        <v>44977</v>
      </c>
      <c r="D20" s="2">
        <v>44997</v>
      </c>
      <c r="E20" s="2">
        <v>45005</v>
      </c>
      <c r="F20" s="1" t="s">
        <v>23</v>
      </c>
      <c r="G20" s="1">
        <v>1300</v>
      </c>
      <c r="H20" s="1">
        <v>20</v>
      </c>
      <c r="I20" s="1" t="s">
        <v>24</v>
      </c>
      <c r="J20" s="1" t="s">
        <v>25</v>
      </c>
      <c r="K20" s="1" t="s">
        <v>26</v>
      </c>
      <c r="L20" s="1">
        <v>45</v>
      </c>
      <c r="M20" s="1">
        <v>9500</v>
      </c>
      <c r="N20" s="3">
        <f t="shared" si="0"/>
        <v>28</v>
      </c>
      <c r="O20" s="3">
        <f t="shared" si="1"/>
        <v>8</v>
      </c>
      <c r="P20" s="3" t="str">
        <f t="shared" si="2"/>
        <v>Yes</v>
      </c>
      <c r="Q20" s="3">
        <f t="shared" si="3"/>
        <v>8</v>
      </c>
      <c r="R20" s="3">
        <f t="shared" si="4"/>
        <v>58500</v>
      </c>
      <c r="S20" s="3">
        <f t="shared" si="5"/>
        <v>0</v>
      </c>
      <c r="T20" s="3">
        <f t="shared" si="6"/>
        <v>4.5</v>
      </c>
      <c r="U20" s="3">
        <f t="shared" si="7"/>
        <v>76000</v>
      </c>
      <c r="V20" s="1">
        <f t="shared" si="8"/>
        <v>5.5</v>
      </c>
      <c r="W20" s="1">
        <f t="shared" si="9"/>
        <v>0.8125</v>
      </c>
      <c r="X20" s="1">
        <f t="shared" si="10"/>
        <v>2097325</v>
      </c>
    </row>
    <row r="21" spans="1:24" ht="12.75" hidden="1" x14ac:dyDescent="0.2">
      <c r="A21" s="1" t="s">
        <v>51</v>
      </c>
      <c r="B21" s="1" t="s">
        <v>28</v>
      </c>
      <c r="C21" s="2">
        <v>44979</v>
      </c>
      <c r="D21" s="2">
        <v>44994</v>
      </c>
      <c r="E21" s="2">
        <v>44996</v>
      </c>
      <c r="F21" s="1" t="s">
        <v>41</v>
      </c>
      <c r="G21" s="1">
        <v>350</v>
      </c>
      <c r="H21" s="1">
        <v>15</v>
      </c>
      <c r="I21" s="1" t="s">
        <v>30</v>
      </c>
      <c r="J21" s="1" t="s">
        <v>25</v>
      </c>
      <c r="K21" s="1" t="s">
        <v>26</v>
      </c>
      <c r="L21" s="1">
        <v>300</v>
      </c>
      <c r="M21" s="1">
        <v>14800</v>
      </c>
      <c r="N21" s="3">
        <f t="shared" si="0"/>
        <v>17</v>
      </c>
      <c r="O21" s="3">
        <f t="shared" si="1"/>
        <v>2</v>
      </c>
      <c r="P21" s="3" t="str">
        <f t="shared" si="2"/>
        <v>Yes</v>
      </c>
      <c r="Q21" s="3">
        <f t="shared" si="3"/>
        <v>2</v>
      </c>
      <c r="R21" s="3">
        <f t="shared" si="4"/>
        <v>105000</v>
      </c>
      <c r="S21" s="3">
        <f t="shared" si="5"/>
        <v>0</v>
      </c>
      <c r="T21" s="3">
        <f t="shared" si="6"/>
        <v>1.5</v>
      </c>
      <c r="U21" s="3">
        <f t="shared" si="7"/>
        <v>29600</v>
      </c>
      <c r="V21" s="1">
        <f t="shared" si="8"/>
        <v>2</v>
      </c>
      <c r="W21" s="1">
        <f t="shared" si="9"/>
        <v>0.8125</v>
      </c>
      <c r="X21" s="1">
        <f t="shared" si="10"/>
        <v>2097325</v>
      </c>
    </row>
    <row r="22" spans="1:24" ht="12.75" x14ac:dyDescent="0.2">
      <c r="A22" s="1" t="s">
        <v>52</v>
      </c>
      <c r="B22" s="1" t="s">
        <v>22</v>
      </c>
      <c r="C22" s="2">
        <v>44982</v>
      </c>
      <c r="D22" s="2">
        <v>45002</v>
      </c>
      <c r="E22" s="2">
        <v>45017</v>
      </c>
      <c r="F22" s="1" t="s">
        <v>36</v>
      </c>
      <c r="G22" s="1">
        <v>550</v>
      </c>
      <c r="H22" s="1">
        <v>20</v>
      </c>
      <c r="I22" s="1" t="s">
        <v>24</v>
      </c>
      <c r="J22" s="1" t="s">
        <v>26</v>
      </c>
      <c r="K22" s="1" t="s">
        <v>26</v>
      </c>
      <c r="L22" s="1">
        <v>215</v>
      </c>
      <c r="M22" s="1">
        <v>11800</v>
      </c>
      <c r="N22" s="3">
        <f t="shared" si="0"/>
        <v>35</v>
      </c>
      <c r="O22" s="3">
        <f t="shared" si="1"/>
        <v>15</v>
      </c>
      <c r="P22" s="3" t="str">
        <f t="shared" si="2"/>
        <v>Yes</v>
      </c>
      <c r="Q22" s="3">
        <f t="shared" si="3"/>
        <v>15</v>
      </c>
      <c r="R22" s="3">
        <f t="shared" si="4"/>
        <v>118250</v>
      </c>
      <c r="S22" s="3">
        <f t="shared" si="5"/>
        <v>0</v>
      </c>
      <c r="T22" s="3">
        <f t="shared" si="6"/>
        <v>8.5</v>
      </c>
      <c r="U22" s="3">
        <f t="shared" si="7"/>
        <v>177000</v>
      </c>
      <c r="V22" s="1">
        <f t="shared" si="8"/>
        <v>15</v>
      </c>
      <c r="W22" s="1">
        <f t="shared" si="9"/>
        <v>0.8125</v>
      </c>
      <c r="X22" s="1">
        <f t="shared" si="10"/>
        <v>2097325</v>
      </c>
    </row>
    <row r="23" spans="1:24" ht="12.75" hidden="1" x14ac:dyDescent="0.2">
      <c r="A23" s="1" t="s">
        <v>53</v>
      </c>
      <c r="B23" s="1" t="s">
        <v>32</v>
      </c>
      <c r="C23" s="2">
        <v>44986</v>
      </c>
      <c r="D23" s="2">
        <v>44996</v>
      </c>
      <c r="E23" s="2">
        <v>44998</v>
      </c>
      <c r="F23" s="1" t="s">
        <v>38</v>
      </c>
      <c r="G23" s="1">
        <v>1800</v>
      </c>
      <c r="H23" s="1">
        <v>10</v>
      </c>
      <c r="I23" s="1" t="s">
        <v>34</v>
      </c>
      <c r="J23" s="1" t="s">
        <v>25</v>
      </c>
      <c r="K23" s="1" t="s">
        <v>25</v>
      </c>
      <c r="L23" s="1">
        <v>17</v>
      </c>
      <c r="M23" s="1">
        <v>2400</v>
      </c>
      <c r="N23" s="3">
        <f t="shared" si="0"/>
        <v>12</v>
      </c>
      <c r="O23" s="3">
        <f t="shared" si="1"/>
        <v>2</v>
      </c>
      <c r="P23" s="3" t="str">
        <f t="shared" si="2"/>
        <v>Yes</v>
      </c>
      <c r="Q23" s="3">
        <f t="shared" si="3"/>
        <v>2</v>
      </c>
      <c r="R23" s="3">
        <f t="shared" si="4"/>
        <v>30600</v>
      </c>
      <c r="S23" s="3">
        <f t="shared" si="5"/>
        <v>0</v>
      </c>
      <c r="T23" s="3">
        <f t="shared" si="6"/>
        <v>1</v>
      </c>
      <c r="U23" s="3">
        <f t="shared" si="7"/>
        <v>2400</v>
      </c>
      <c r="V23" s="1">
        <f t="shared" si="8"/>
        <v>2</v>
      </c>
      <c r="W23" s="1">
        <f t="shared" si="9"/>
        <v>0.8125</v>
      </c>
      <c r="X23" s="1">
        <f t="shared" si="10"/>
        <v>2097325</v>
      </c>
    </row>
    <row r="24" spans="1:24" ht="12.75" hidden="1" x14ac:dyDescent="0.2">
      <c r="A24" s="1" t="s">
        <v>54</v>
      </c>
      <c r="B24" s="1" t="s">
        <v>28</v>
      </c>
      <c r="C24" s="2">
        <v>44988</v>
      </c>
      <c r="D24" s="2">
        <v>44998</v>
      </c>
      <c r="E24" s="2">
        <v>45000</v>
      </c>
      <c r="F24" s="1" t="s">
        <v>29</v>
      </c>
      <c r="G24" s="1">
        <v>950</v>
      </c>
      <c r="H24" s="1">
        <v>10</v>
      </c>
      <c r="I24" s="1" t="s">
        <v>34</v>
      </c>
      <c r="J24" s="1" t="s">
        <v>25</v>
      </c>
      <c r="K24" s="1" t="s">
        <v>25</v>
      </c>
      <c r="L24" s="1">
        <v>125</v>
      </c>
      <c r="M24" s="1">
        <v>3700</v>
      </c>
      <c r="N24" s="3">
        <f t="shared" si="0"/>
        <v>12</v>
      </c>
      <c r="O24" s="3">
        <f t="shared" si="1"/>
        <v>2</v>
      </c>
      <c r="P24" s="3" t="str">
        <f t="shared" si="2"/>
        <v>Yes</v>
      </c>
      <c r="Q24" s="3">
        <f t="shared" si="3"/>
        <v>2</v>
      </c>
      <c r="R24" s="3">
        <f t="shared" si="4"/>
        <v>118750</v>
      </c>
      <c r="S24" s="3">
        <f t="shared" si="5"/>
        <v>0</v>
      </c>
      <c r="T24" s="3">
        <f t="shared" si="6"/>
        <v>1</v>
      </c>
      <c r="U24" s="3">
        <f t="shared" si="7"/>
        <v>3700</v>
      </c>
      <c r="V24" s="1">
        <f t="shared" si="8"/>
        <v>2</v>
      </c>
      <c r="W24" s="1">
        <f t="shared" si="9"/>
        <v>0.8125</v>
      </c>
      <c r="X24" s="1">
        <f t="shared" si="10"/>
        <v>2097325</v>
      </c>
    </row>
    <row r="25" spans="1:24" ht="12.75" x14ac:dyDescent="0.2">
      <c r="A25" s="1" t="s">
        <v>55</v>
      </c>
      <c r="B25" s="1" t="s">
        <v>22</v>
      </c>
      <c r="C25" s="2">
        <v>44990</v>
      </c>
      <c r="D25" s="2">
        <v>45010</v>
      </c>
      <c r="E25" s="2">
        <v>45018</v>
      </c>
      <c r="F25" s="1" t="s">
        <v>33</v>
      </c>
      <c r="G25" s="1">
        <v>550</v>
      </c>
      <c r="H25" s="1">
        <v>20</v>
      </c>
      <c r="I25" s="1" t="s">
        <v>24</v>
      </c>
      <c r="J25" s="1" t="s">
        <v>25</v>
      </c>
      <c r="K25" s="1" t="s">
        <v>26</v>
      </c>
      <c r="L25" s="1">
        <v>92</v>
      </c>
      <c r="M25" s="1">
        <v>8600</v>
      </c>
      <c r="N25" s="3">
        <f t="shared" si="0"/>
        <v>28</v>
      </c>
      <c r="O25" s="3">
        <f t="shared" si="1"/>
        <v>8</v>
      </c>
      <c r="P25" s="3" t="str">
        <f t="shared" si="2"/>
        <v>Yes</v>
      </c>
      <c r="Q25" s="3">
        <f t="shared" si="3"/>
        <v>8</v>
      </c>
      <c r="R25" s="3">
        <f t="shared" si="4"/>
        <v>50600</v>
      </c>
      <c r="S25" s="3">
        <f t="shared" si="5"/>
        <v>0</v>
      </c>
      <c r="T25" s="3">
        <f t="shared" si="6"/>
        <v>4.5</v>
      </c>
      <c r="U25" s="3">
        <f t="shared" si="7"/>
        <v>68800</v>
      </c>
      <c r="V25" s="1">
        <f t="shared" si="8"/>
        <v>8</v>
      </c>
      <c r="W25" s="1">
        <f t="shared" si="9"/>
        <v>0.8125</v>
      </c>
      <c r="X25" s="1">
        <f t="shared" si="10"/>
        <v>2097325</v>
      </c>
    </row>
    <row r="26" spans="1:24" ht="12.75" x14ac:dyDescent="0.2">
      <c r="A26" s="1" t="s">
        <v>31</v>
      </c>
      <c r="B26" s="1" t="s">
        <v>32</v>
      </c>
      <c r="C26" s="2">
        <v>44993</v>
      </c>
      <c r="D26" s="2">
        <v>45005</v>
      </c>
      <c r="E26" s="2">
        <v>45012</v>
      </c>
      <c r="F26" s="1" t="s">
        <v>33</v>
      </c>
      <c r="G26" s="1">
        <v>400</v>
      </c>
      <c r="H26" s="1">
        <v>12</v>
      </c>
      <c r="I26" s="1" t="s">
        <v>34</v>
      </c>
      <c r="J26" s="1" t="s">
        <v>25</v>
      </c>
      <c r="K26" s="1" t="s">
        <v>26</v>
      </c>
      <c r="L26" s="1">
        <v>85</v>
      </c>
      <c r="M26" s="1">
        <v>8200</v>
      </c>
      <c r="N26" s="3">
        <f t="shared" si="0"/>
        <v>19</v>
      </c>
      <c r="O26" s="3">
        <f t="shared" si="1"/>
        <v>7</v>
      </c>
      <c r="P26" s="3" t="str">
        <f t="shared" si="2"/>
        <v>Yes</v>
      </c>
      <c r="Q26" s="3">
        <f t="shared" si="3"/>
        <v>7</v>
      </c>
      <c r="R26" s="3">
        <f t="shared" si="4"/>
        <v>34000</v>
      </c>
      <c r="S26" s="3">
        <f t="shared" si="5"/>
        <v>0</v>
      </c>
      <c r="T26" s="3">
        <f t="shared" si="6"/>
        <v>4</v>
      </c>
      <c r="U26" s="3">
        <f t="shared" si="7"/>
        <v>57400</v>
      </c>
      <c r="V26" s="1">
        <f t="shared" si="8"/>
        <v>7</v>
      </c>
      <c r="W26" s="1">
        <f t="shared" si="9"/>
        <v>0.8125</v>
      </c>
      <c r="X26" s="1">
        <f t="shared" si="10"/>
        <v>2097325</v>
      </c>
    </row>
    <row r="27" spans="1:24" ht="12.75" hidden="1" x14ac:dyDescent="0.2">
      <c r="A27" s="1" t="s">
        <v>56</v>
      </c>
      <c r="B27" s="1" t="s">
        <v>28</v>
      </c>
      <c r="C27" s="2">
        <v>44995</v>
      </c>
      <c r="D27" s="2">
        <v>45010</v>
      </c>
      <c r="E27" s="2">
        <v>45012</v>
      </c>
      <c r="F27" s="1" t="s">
        <v>23</v>
      </c>
      <c r="G27" s="1">
        <v>1700</v>
      </c>
      <c r="H27" s="1">
        <v>15</v>
      </c>
      <c r="I27" s="1" t="s">
        <v>30</v>
      </c>
      <c r="J27" s="1" t="s">
        <v>25</v>
      </c>
      <c r="K27" s="1" t="s">
        <v>26</v>
      </c>
      <c r="L27" s="1">
        <v>50</v>
      </c>
      <c r="M27" s="1">
        <v>9300</v>
      </c>
      <c r="N27" s="3">
        <f t="shared" si="0"/>
        <v>17</v>
      </c>
      <c r="O27" s="3">
        <f t="shared" si="1"/>
        <v>2</v>
      </c>
      <c r="P27" s="3" t="str">
        <f t="shared" si="2"/>
        <v>Yes</v>
      </c>
      <c r="Q27" s="3">
        <f t="shared" si="3"/>
        <v>2</v>
      </c>
      <c r="R27" s="3">
        <f t="shared" si="4"/>
        <v>85000</v>
      </c>
      <c r="S27" s="3">
        <f t="shared" si="5"/>
        <v>0</v>
      </c>
      <c r="T27" s="3">
        <f t="shared" si="6"/>
        <v>1.5</v>
      </c>
      <c r="U27" s="3">
        <f t="shared" si="7"/>
        <v>18600</v>
      </c>
      <c r="V27" s="1">
        <f t="shared" si="8"/>
        <v>2</v>
      </c>
      <c r="W27" s="1">
        <f t="shared" si="9"/>
        <v>0.8125</v>
      </c>
      <c r="X27" s="1">
        <f t="shared" si="10"/>
        <v>2097325</v>
      </c>
    </row>
    <row r="28" spans="1:24" ht="12.75" x14ac:dyDescent="0.2">
      <c r="A28" s="1" t="s">
        <v>35</v>
      </c>
      <c r="B28" s="1" t="s">
        <v>22</v>
      </c>
      <c r="C28" s="2">
        <v>44997</v>
      </c>
      <c r="D28" s="2">
        <v>45017</v>
      </c>
      <c r="E28" s="2">
        <v>45034</v>
      </c>
      <c r="F28" s="1" t="s">
        <v>36</v>
      </c>
      <c r="G28" s="1">
        <v>600</v>
      </c>
      <c r="H28" s="1">
        <v>20</v>
      </c>
      <c r="I28" s="1" t="s">
        <v>24</v>
      </c>
      <c r="J28" s="1" t="s">
        <v>26</v>
      </c>
      <c r="K28" s="1" t="s">
        <v>26</v>
      </c>
      <c r="L28" s="1">
        <v>220</v>
      </c>
      <c r="M28" s="1">
        <v>12000</v>
      </c>
      <c r="N28" s="3">
        <f t="shared" si="0"/>
        <v>37</v>
      </c>
      <c r="O28" s="3">
        <f t="shared" si="1"/>
        <v>17</v>
      </c>
      <c r="P28" s="3" t="str">
        <f t="shared" si="2"/>
        <v>Yes</v>
      </c>
      <c r="Q28" s="3">
        <f t="shared" si="3"/>
        <v>17</v>
      </c>
      <c r="R28" s="3">
        <f t="shared" si="4"/>
        <v>132000</v>
      </c>
      <c r="S28" s="3">
        <f t="shared" si="5"/>
        <v>0</v>
      </c>
      <c r="T28" s="3">
        <f t="shared" si="6"/>
        <v>8.5</v>
      </c>
      <c r="U28" s="3">
        <f t="shared" si="7"/>
        <v>204000</v>
      </c>
      <c r="V28" s="1">
        <f t="shared" si="8"/>
        <v>12.8</v>
      </c>
      <c r="W28" s="1">
        <f t="shared" si="9"/>
        <v>0.8125</v>
      </c>
      <c r="X28" s="1">
        <f t="shared" si="10"/>
        <v>2097325</v>
      </c>
    </row>
    <row r="29" spans="1:24" ht="12.75" hidden="1" x14ac:dyDescent="0.2">
      <c r="A29" s="1" t="s">
        <v>57</v>
      </c>
      <c r="B29" s="1" t="s">
        <v>32</v>
      </c>
      <c r="C29" s="2">
        <v>45000</v>
      </c>
      <c r="D29" s="2">
        <v>45015</v>
      </c>
      <c r="E29" s="2">
        <v>45014</v>
      </c>
      <c r="F29" s="1" t="s">
        <v>42</v>
      </c>
      <c r="G29" s="1">
        <v>950</v>
      </c>
      <c r="H29" s="1">
        <v>15</v>
      </c>
      <c r="I29" s="1" t="s">
        <v>30</v>
      </c>
      <c r="J29" s="1" t="s">
        <v>25</v>
      </c>
      <c r="K29" s="1" t="s">
        <v>25</v>
      </c>
      <c r="L29" s="1">
        <v>68</v>
      </c>
      <c r="M29" s="1">
        <v>4300</v>
      </c>
      <c r="N29" s="3">
        <f t="shared" si="0"/>
        <v>14</v>
      </c>
      <c r="O29" s="3">
        <f t="shared" si="1"/>
        <v>-1</v>
      </c>
      <c r="P29" s="3" t="str">
        <f t="shared" si="2"/>
        <v>No</v>
      </c>
      <c r="Q29" s="3">
        <f t="shared" si="3"/>
        <v>0</v>
      </c>
      <c r="R29" s="3">
        <f t="shared" si="4"/>
        <v>64600</v>
      </c>
      <c r="S29" s="3">
        <f t="shared" si="5"/>
        <v>1</v>
      </c>
      <c r="T29" s="3">
        <f t="shared" si="6"/>
        <v>0</v>
      </c>
      <c r="U29" s="3">
        <f t="shared" si="7"/>
        <v>0</v>
      </c>
      <c r="V29" s="1">
        <f t="shared" si="8"/>
        <v>0</v>
      </c>
      <c r="W29" s="1">
        <f t="shared" si="9"/>
        <v>0.8125</v>
      </c>
      <c r="X29" s="1">
        <f t="shared" si="10"/>
        <v>2097325</v>
      </c>
    </row>
    <row r="30" spans="1:24" ht="12.75" hidden="1" x14ac:dyDescent="0.2">
      <c r="A30" s="1" t="s">
        <v>58</v>
      </c>
      <c r="B30" s="1" t="s">
        <v>22</v>
      </c>
      <c r="C30" s="2">
        <v>45003</v>
      </c>
      <c r="D30" s="2">
        <v>45023</v>
      </c>
      <c r="E30" s="2">
        <v>45025</v>
      </c>
      <c r="F30" s="1" t="s">
        <v>41</v>
      </c>
      <c r="G30" s="1">
        <v>380</v>
      </c>
      <c r="H30" s="1">
        <v>20</v>
      </c>
      <c r="I30" s="1" t="s">
        <v>24</v>
      </c>
      <c r="J30" s="1" t="s">
        <v>25</v>
      </c>
      <c r="K30" s="1" t="s">
        <v>26</v>
      </c>
      <c r="L30" s="1">
        <v>305</v>
      </c>
      <c r="M30" s="1">
        <v>14900</v>
      </c>
      <c r="N30" s="3">
        <f t="shared" si="0"/>
        <v>22</v>
      </c>
      <c r="O30" s="3">
        <f t="shared" si="1"/>
        <v>2</v>
      </c>
      <c r="P30" s="3" t="str">
        <f t="shared" si="2"/>
        <v>Yes</v>
      </c>
      <c r="Q30" s="3">
        <f t="shared" si="3"/>
        <v>2</v>
      </c>
      <c r="R30" s="3">
        <f t="shared" si="4"/>
        <v>115900</v>
      </c>
      <c r="S30" s="3">
        <f t="shared" si="5"/>
        <v>0</v>
      </c>
      <c r="T30" s="3">
        <f t="shared" si="6"/>
        <v>1.5</v>
      </c>
      <c r="U30" s="3">
        <f t="shared" si="7"/>
        <v>29800</v>
      </c>
      <c r="V30" s="1">
        <f t="shared" si="8"/>
        <v>2</v>
      </c>
      <c r="W30" s="1">
        <f t="shared" si="9"/>
        <v>0.8125</v>
      </c>
      <c r="X30" s="1">
        <f t="shared" si="10"/>
        <v>2097325</v>
      </c>
    </row>
    <row r="31" spans="1:24" ht="12.75" hidden="1" x14ac:dyDescent="0.2">
      <c r="A31" s="1" t="s">
        <v>59</v>
      </c>
      <c r="B31" s="1" t="s">
        <v>28</v>
      </c>
      <c r="C31" s="2">
        <v>45005</v>
      </c>
      <c r="D31" s="2">
        <v>45015</v>
      </c>
      <c r="E31" s="2">
        <v>45018</v>
      </c>
      <c r="F31" s="1" t="s">
        <v>38</v>
      </c>
      <c r="G31" s="1">
        <v>1400</v>
      </c>
      <c r="H31" s="1">
        <v>10</v>
      </c>
      <c r="I31" s="1" t="s">
        <v>34</v>
      </c>
      <c r="J31" s="1" t="s">
        <v>25</v>
      </c>
      <c r="K31" s="1" t="s">
        <v>25</v>
      </c>
      <c r="L31" s="1">
        <v>19</v>
      </c>
      <c r="M31" s="1">
        <v>2600</v>
      </c>
      <c r="N31" s="3">
        <f t="shared" si="0"/>
        <v>13</v>
      </c>
      <c r="O31" s="3">
        <f t="shared" si="1"/>
        <v>3</v>
      </c>
      <c r="P31" s="3" t="str">
        <f t="shared" si="2"/>
        <v>Yes</v>
      </c>
      <c r="Q31" s="3">
        <f t="shared" si="3"/>
        <v>3</v>
      </c>
      <c r="R31" s="3">
        <f t="shared" si="4"/>
        <v>26600</v>
      </c>
      <c r="S31" s="3">
        <f t="shared" si="5"/>
        <v>0</v>
      </c>
      <c r="T31" s="3">
        <f t="shared" si="6"/>
        <v>1.5</v>
      </c>
      <c r="U31" s="3">
        <f t="shared" si="7"/>
        <v>3900</v>
      </c>
      <c r="V31" s="1">
        <f t="shared" si="8"/>
        <v>3</v>
      </c>
      <c r="W31" s="1">
        <f t="shared" si="9"/>
        <v>0.8125</v>
      </c>
      <c r="X31" s="1">
        <f t="shared" si="10"/>
        <v>2097325</v>
      </c>
    </row>
    <row r="32" spans="1:24" ht="12.75" x14ac:dyDescent="0.2">
      <c r="A32" s="1" t="s">
        <v>21</v>
      </c>
      <c r="B32" s="1" t="s">
        <v>22</v>
      </c>
      <c r="C32" s="2">
        <v>45007</v>
      </c>
      <c r="D32" s="2">
        <v>45027</v>
      </c>
      <c r="E32" s="2">
        <v>45030</v>
      </c>
      <c r="F32" s="1" t="s">
        <v>23</v>
      </c>
      <c r="G32" s="1">
        <v>1250</v>
      </c>
      <c r="H32" s="1">
        <v>20</v>
      </c>
      <c r="I32" s="1" t="s">
        <v>24</v>
      </c>
      <c r="J32" s="1" t="s">
        <v>25</v>
      </c>
      <c r="K32" s="1" t="s">
        <v>26</v>
      </c>
      <c r="L32" s="1">
        <v>45</v>
      </c>
      <c r="M32" s="1">
        <v>9500</v>
      </c>
      <c r="N32" s="3">
        <f t="shared" si="0"/>
        <v>23</v>
      </c>
      <c r="O32" s="3">
        <f t="shared" si="1"/>
        <v>3</v>
      </c>
      <c r="P32" s="3" t="str">
        <f t="shared" si="2"/>
        <v>Yes</v>
      </c>
      <c r="Q32" s="3">
        <f t="shared" si="3"/>
        <v>3</v>
      </c>
      <c r="R32" s="3">
        <f t="shared" si="4"/>
        <v>56250</v>
      </c>
      <c r="S32" s="3">
        <f t="shared" si="5"/>
        <v>0</v>
      </c>
      <c r="T32" s="3">
        <f t="shared" si="6"/>
        <v>2</v>
      </c>
      <c r="U32" s="3">
        <f t="shared" si="7"/>
        <v>28500</v>
      </c>
      <c r="V32" s="1">
        <f t="shared" si="8"/>
        <v>5.5</v>
      </c>
      <c r="W32" s="1">
        <f t="shared" si="9"/>
        <v>0.8125</v>
      </c>
      <c r="X32" s="1">
        <f t="shared" si="10"/>
        <v>2097325</v>
      </c>
    </row>
    <row r="33" spans="1:24" ht="12.75" hidden="1" x14ac:dyDescent="0.2">
      <c r="A33" s="1" t="s">
        <v>60</v>
      </c>
      <c r="B33" s="1" t="s">
        <v>32</v>
      </c>
      <c r="C33" s="2">
        <v>45010</v>
      </c>
      <c r="D33" s="2">
        <v>45025</v>
      </c>
      <c r="E33" s="2">
        <v>45024</v>
      </c>
      <c r="F33" s="1" t="s">
        <v>29</v>
      </c>
      <c r="G33" s="1">
        <v>800</v>
      </c>
      <c r="H33" s="1">
        <v>15</v>
      </c>
      <c r="I33" s="1" t="s">
        <v>30</v>
      </c>
      <c r="J33" s="1" t="s">
        <v>25</v>
      </c>
      <c r="K33" s="1" t="s">
        <v>25</v>
      </c>
      <c r="L33" s="1">
        <v>122</v>
      </c>
      <c r="M33" s="1">
        <v>3650</v>
      </c>
      <c r="N33" s="3">
        <f t="shared" si="0"/>
        <v>14</v>
      </c>
      <c r="O33" s="3">
        <f t="shared" si="1"/>
        <v>-1</v>
      </c>
      <c r="P33" s="3" t="str">
        <f t="shared" si="2"/>
        <v>No</v>
      </c>
      <c r="Q33" s="3">
        <f t="shared" si="3"/>
        <v>0</v>
      </c>
      <c r="R33" s="3">
        <f t="shared" si="4"/>
        <v>97600</v>
      </c>
      <c r="S33" s="3">
        <f t="shared" si="5"/>
        <v>1</v>
      </c>
      <c r="T33" s="3">
        <f t="shared" si="6"/>
        <v>0</v>
      </c>
      <c r="U33" s="3">
        <f t="shared" si="7"/>
        <v>0</v>
      </c>
      <c r="V33" s="1">
        <f t="shared" si="8"/>
        <v>0</v>
      </c>
      <c r="W33" s="1">
        <f t="shared" si="9"/>
        <v>0.8125</v>
      </c>
      <c r="X33" s="1">
        <f t="shared" si="10"/>
        <v>2097325</v>
      </c>
    </row>
    <row r="34" spans="1:24" ht="12.75" hidden="1" x14ac:dyDescent="0.2">
      <c r="A34" s="1" t="s">
        <v>61</v>
      </c>
      <c r="B34" s="1" t="s">
        <v>28</v>
      </c>
      <c r="C34" s="2">
        <v>45013</v>
      </c>
      <c r="D34" s="2">
        <v>45028</v>
      </c>
      <c r="E34" s="2">
        <v>45030</v>
      </c>
      <c r="F34" s="1" t="s">
        <v>33</v>
      </c>
      <c r="G34" s="1">
        <v>480</v>
      </c>
      <c r="H34" s="1">
        <v>15</v>
      </c>
      <c r="I34" s="1" t="s">
        <v>34</v>
      </c>
      <c r="J34" s="1" t="s">
        <v>25</v>
      </c>
      <c r="K34" s="1" t="s">
        <v>26</v>
      </c>
      <c r="L34" s="1">
        <v>91</v>
      </c>
      <c r="M34" s="1">
        <v>8550</v>
      </c>
      <c r="N34" s="3">
        <f t="shared" si="0"/>
        <v>17</v>
      </c>
      <c r="O34" s="3">
        <f t="shared" si="1"/>
        <v>2</v>
      </c>
      <c r="P34" s="3" t="str">
        <f t="shared" si="2"/>
        <v>Yes</v>
      </c>
      <c r="Q34" s="3">
        <f t="shared" si="3"/>
        <v>2</v>
      </c>
      <c r="R34" s="3">
        <f t="shared" si="4"/>
        <v>43680</v>
      </c>
      <c r="S34" s="3">
        <f t="shared" ref="S34:S63" si="11">COUNTIFS(A:A, A34,P:P, "No")/COUNTIF(A:A, A34)</f>
        <v>0</v>
      </c>
      <c r="T34" s="3">
        <f t="shared" si="6"/>
        <v>1.5</v>
      </c>
      <c r="U34" s="3">
        <f t="shared" si="7"/>
        <v>17100</v>
      </c>
      <c r="V34" s="1">
        <f t="shared" ref="V34:V63" si="12">AVERAGEIF(A:A, A34,Q:Q)</f>
        <v>2</v>
      </c>
      <c r="W34" s="1">
        <f t="shared" ref="W34:W63" si="13">AVERAGEIFS(S:S,I:I,"AIR")</f>
        <v>0.8125</v>
      </c>
      <c r="X34" s="1">
        <f t="shared" ref="X34:X63" si="14">SUMIFS(U:U,B:B, "APAC")</f>
        <v>2097325</v>
      </c>
    </row>
    <row r="35" spans="1:24" ht="12.75" x14ac:dyDescent="0.2">
      <c r="A35" s="1" t="s">
        <v>62</v>
      </c>
      <c r="B35" s="1" t="s">
        <v>22</v>
      </c>
      <c r="C35" s="2">
        <v>45017</v>
      </c>
      <c r="D35" s="2">
        <v>45037</v>
      </c>
      <c r="E35" s="2">
        <v>45047</v>
      </c>
      <c r="F35" s="1" t="s">
        <v>36</v>
      </c>
      <c r="G35" s="1">
        <v>620</v>
      </c>
      <c r="H35" s="1">
        <v>20</v>
      </c>
      <c r="I35" s="1" t="s">
        <v>24</v>
      </c>
      <c r="J35" s="1" t="s">
        <v>26</v>
      </c>
      <c r="K35" s="1" t="s">
        <v>26</v>
      </c>
      <c r="L35" s="1">
        <v>218</v>
      </c>
      <c r="M35" s="1">
        <v>11900</v>
      </c>
      <c r="N35" s="3">
        <f t="shared" si="0"/>
        <v>30</v>
      </c>
      <c r="O35" s="3">
        <f t="shared" si="1"/>
        <v>10</v>
      </c>
      <c r="P35" s="3" t="str">
        <f t="shared" si="2"/>
        <v>Yes</v>
      </c>
      <c r="Q35" s="3">
        <f t="shared" si="3"/>
        <v>10</v>
      </c>
      <c r="R35" s="3">
        <f t="shared" si="4"/>
        <v>135160</v>
      </c>
      <c r="S35" s="3">
        <f t="shared" si="11"/>
        <v>0</v>
      </c>
      <c r="T35" s="3">
        <f t="shared" si="6"/>
        <v>8.5</v>
      </c>
      <c r="U35" s="3">
        <f t="shared" si="7"/>
        <v>119000</v>
      </c>
      <c r="V35" s="1">
        <f t="shared" si="12"/>
        <v>10</v>
      </c>
      <c r="W35" s="1">
        <f t="shared" si="13"/>
        <v>0.8125</v>
      </c>
      <c r="X35" s="1">
        <f t="shared" si="14"/>
        <v>2097325</v>
      </c>
    </row>
    <row r="36" spans="1:24" ht="12.75" hidden="1" x14ac:dyDescent="0.2">
      <c r="A36" s="1" t="s">
        <v>63</v>
      </c>
      <c r="B36" s="1" t="s">
        <v>32</v>
      </c>
      <c r="C36" s="2">
        <v>45019</v>
      </c>
      <c r="D36" s="2">
        <v>45029</v>
      </c>
      <c r="E36" s="2">
        <v>45030</v>
      </c>
      <c r="F36" s="1" t="s">
        <v>23</v>
      </c>
      <c r="G36" s="1">
        <v>1850</v>
      </c>
      <c r="H36" s="1">
        <v>10</v>
      </c>
      <c r="I36" s="1" t="s">
        <v>34</v>
      </c>
      <c r="J36" s="1" t="s">
        <v>25</v>
      </c>
      <c r="K36" s="1" t="s">
        <v>26</v>
      </c>
      <c r="L36" s="1">
        <v>46</v>
      </c>
      <c r="M36" s="1">
        <v>9100</v>
      </c>
      <c r="N36" s="3">
        <f t="shared" si="0"/>
        <v>11</v>
      </c>
      <c r="O36" s="3">
        <f t="shared" si="1"/>
        <v>1</v>
      </c>
      <c r="P36" s="3" t="str">
        <f t="shared" si="2"/>
        <v>Yes</v>
      </c>
      <c r="Q36" s="3">
        <f t="shared" si="3"/>
        <v>1</v>
      </c>
      <c r="R36" s="3">
        <f t="shared" si="4"/>
        <v>85100</v>
      </c>
      <c r="S36" s="3">
        <f t="shared" si="11"/>
        <v>0</v>
      </c>
      <c r="T36" s="3">
        <f t="shared" si="6"/>
        <v>1</v>
      </c>
      <c r="U36" s="3">
        <f t="shared" si="7"/>
        <v>9100</v>
      </c>
      <c r="V36" s="1">
        <f t="shared" si="12"/>
        <v>1</v>
      </c>
      <c r="W36" s="1">
        <f t="shared" si="13"/>
        <v>0.8125</v>
      </c>
      <c r="X36" s="1">
        <f t="shared" si="14"/>
        <v>2097325</v>
      </c>
    </row>
    <row r="37" spans="1:24" ht="12.75" hidden="1" x14ac:dyDescent="0.2">
      <c r="A37" s="1" t="s">
        <v>64</v>
      </c>
      <c r="B37" s="1" t="s">
        <v>28</v>
      </c>
      <c r="C37" s="2">
        <v>45021</v>
      </c>
      <c r="D37" s="2">
        <v>45036</v>
      </c>
      <c r="E37" s="2">
        <v>45035</v>
      </c>
      <c r="F37" s="1" t="s">
        <v>41</v>
      </c>
      <c r="G37" s="1">
        <v>330</v>
      </c>
      <c r="H37" s="1">
        <v>15</v>
      </c>
      <c r="I37" s="1" t="s">
        <v>30</v>
      </c>
      <c r="J37" s="1" t="s">
        <v>25</v>
      </c>
      <c r="K37" s="1" t="s">
        <v>26</v>
      </c>
      <c r="L37" s="1">
        <v>298</v>
      </c>
      <c r="M37" s="1">
        <v>14700</v>
      </c>
      <c r="N37" s="3">
        <f t="shared" si="0"/>
        <v>14</v>
      </c>
      <c r="O37" s="3">
        <f t="shared" si="1"/>
        <v>-1</v>
      </c>
      <c r="P37" s="3" t="str">
        <f t="shared" si="2"/>
        <v>No</v>
      </c>
      <c r="Q37" s="3">
        <f t="shared" si="3"/>
        <v>0</v>
      </c>
      <c r="R37" s="3">
        <f t="shared" si="4"/>
        <v>98340</v>
      </c>
      <c r="S37" s="3">
        <f t="shared" si="11"/>
        <v>1</v>
      </c>
      <c r="T37" s="3">
        <f t="shared" si="6"/>
        <v>0</v>
      </c>
      <c r="U37" s="3">
        <f t="shared" si="7"/>
        <v>0</v>
      </c>
      <c r="V37" s="1">
        <f t="shared" si="12"/>
        <v>0</v>
      </c>
      <c r="W37" s="1">
        <f t="shared" si="13"/>
        <v>0.8125</v>
      </c>
      <c r="X37" s="1">
        <f t="shared" si="14"/>
        <v>2097325</v>
      </c>
    </row>
    <row r="38" spans="1:24" ht="12.75" x14ac:dyDescent="0.2">
      <c r="A38" s="1" t="s">
        <v>35</v>
      </c>
      <c r="B38" s="1" t="s">
        <v>22</v>
      </c>
      <c r="C38" s="2">
        <v>45024</v>
      </c>
      <c r="D38" s="2">
        <v>45044</v>
      </c>
      <c r="E38" s="2">
        <v>45051</v>
      </c>
      <c r="F38" s="1" t="s">
        <v>36</v>
      </c>
      <c r="G38" s="1">
        <v>680</v>
      </c>
      <c r="H38" s="1">
        <v>20</v>
      </c>
      <c r="I38" s="1" t="s">
        <v>24</v>
      </c>
      <c r="J38" s="1" t="s">
        <v>25</v>
      </c>
      <c r="K38" s="1" t="s">
        <v>26</v>
      </c>
      <c r="L38" s="1">
        <v>220</v>
      </c>
      <c r="M38" s="1">
        <v>12000</v>
      </c>
      <c r="N38" s="3">
        <f t="shared" si="0"/>
        <v>27</v>
      </c>
      <c r="O38" s="3">
        <f t="shared" si="1"/>
        <v>7</v>
      </c>
      <c r="P38" s="3" t="str">
        <f t="shared" si="2"/>
        <v>Yes</v>
      </c>
      <c r="Q38" s="3">
        <f t="shared" si="3"/>
        <v>7</v>
      </c>
      <c r="R38" s="3">
        <f t="shared" si="4"/>
        <v>149600</v>
      </c>
      <c r="S38" s="3">
        <f t="shared" si="11"/>
        <v>0</v>
      </c>
      <c r="T38" s="3">
        <f t="shared" si="6"/>
        <v>4</v>
      </c>
      <c r="U38" s="3">
        <f t="shared" si="7"/>
        <v>84000</v>
      </c>
      <c r="V38" s="1">
        <f t="shared" si="12"/>
        <v>12.8</v>
      </c>
      <c r="W38" s="1">
        <f t="shared" si="13"/>
        <v>0.8125</v>
      </c>
      <c r="X38" s="1">
        <f t="shared" si="14"/>
        <v>2097325</v>
      </c>
    </row>
    <row r="39" spans="1:24" ht="12.75" hidden="1" x14ac:dyDescent="0.2">
      <c r="A39" s="1" t="s">
        <v>65</v>
      </c>
      <c r="B39" s="1" t="s">
        <v>32</v>
      </c>
      <c r="C39" s="2">
        <v>45026</v>
      </c>
      <c r="D39" s="2">
        <v>45041</v>
      </c>
      <c r="E39" s="2">
        <v>45040</v>
      </c>
      <c r="F39" s="1" t="s">
        <v>38</v>
      </c>
      <c r="G39" s="1">
        <v>1600</v>
      </c>
      <c r="H39" s="1">
        <v>15</v>
      </c>
      <c r="I39" s="1" t="s">
        <v>30</v>
      </c>
      <c r="J39" s="1" t="s">
        <v>25</v>
      </c>
      <c r="K39" s="1" t="s">
        <v>25</v>
      </c>
      <c r="L39" s="1">
        <v>16</v>
      </c>
      <c r="M39" s="1">
        <v>2300</v>
      </c>
      <c r="N39" s="3">
        <f t="shared" si="0"/>
        <v>14</v>
      </c>
      <c r="O39" s="3">
        <f t="shared" si="1"/>
        <v>-1</v>
      </c>
      <c r="P39" s="3" t="str">
        <f t="shared" si="2"/>
        <v>No</v>
      </c>
      <c r="Q39" s="3">
        <f t="shared" si="3"/>
        <v>0</v>
      </c>
      <c r="R39" s="3">
        <f t="shared" si="4"/>
        <v>25600</v>
      </c>
      <c r="S39" s="3">
        <f t="shared" si="11"/>
        <v>1</v>
      </c>
      <c r="T39" s="3">
        <f t="shared" si="6"/>
        <v>0</v>
      </c>
      <c r="U39" s="3">
        <f t="shared" si="7"/>
        <v>0</v>
      </c>
      <c r="V39" s="1">
        <f t="shared" si="12"/>
        <v>0</v>
      </c>
      <c r="W39" s="1">
        <f t="shared" si="13"/>
        <v>0.8125</v>
      </c>
      <c r="X39" s="1">
        <f t="shared" si="14"/>
        <v>2097325</v>
      </c>
    </row>
    <row r="40" spans="1:24" ht="12.75" hidden="1" x14ac:dyDescent="0.2">
      <c r="A40" s="1" t="s">
        <v>66</v>
      </c>
      <c r="B40" s="1" t="s">
        <v>22</v>
      </c>
      <c r="C40" s="2">
        <v>45028</v>
      </c>
      <c r="D40" s="2">
        <v>45048</v>
      </c>
      <c r="E40" s="2">
        <v>45049</v>
      </c>
      <c r="F40" s="1" t="s">
        <v>29</v>
      </c>
      <c r="G40" s="1">
        <v>920</v>
      </c>
      <c r="H40" s="1">
        <v>20</v>
      </c>
      <c r="I40" s="1" t="s">
        <v>24</v>
      </c>
      <c r="J40" s="1" t="s">
        <v>25</v>
      </c>
      <c r="K40" s="1" t="s">
        <v>25</v>
      </c>
      <c r="L40" s="1">
        <v>117</v>
      </c>
      <c r="M40" s="1">
        <v>3550</v>
      </c>
      <c r="N40" s="3">
        <f t="shared" si="0"/>
        <v>21</v>
      </c>
      <c r="O40" s="3">
        <f t="shared" si="1"/>
        <v>1</v>
      </c>
      <c r="P40" s="3" t="str">
        <f t="shared" si="2"/>
        <v>Yes</v>
      </c>
      <c r="Q40" s="3">
        <f t="shared" si="3"/>
        <v>1</v>
      </c>
      <c r="R40" s="3">
        <f t="shared" si="4"/>
        <v>107640</v>
      </c>
      <c r="S40" s="3">
        <f t="shared" si="11"/>
        <v>0</v>
      </c>
      <c r="T40" s="3">
        <f t="shared" si="6"/>
        <v>0.5</v>
      </c>
      <c r="U40" s="3">
        <f t="shared" si="7"/>
        <v>1775</v>
      </c>
      <c r="V40" s="1">
        <f t="shared" si="12"/>
        <v>1</v>
      </c>
      <c r="W40" s="1">
        <f t="shared" si="13"/>
        <v>0.8125</v>
      </c>
      <c r="X40" s="1">
        <f t="shared" si="14"/>
        <v>2097325</v>
      </c>
    </row>
    <row r="41" spans="1:24" ht="12.75" x14ac:dyDescent="0.2">
      <c r="A41" s="1" t="s">
        <v>67</v>
      </c>
      <c r="B41" s="1" t="s">
        <v>28</v>
      </c>
      <c r="C41" s="2">
        <v>45031</v>
      </c>
      <c r="D41" s="2">
        <v>45041</v>
      </c>
      <c r="E41" s="2">
        <v>45046</v>
      </c>
      <c r="F41" s="1" t="s">
        <v>42</v>
      </c>
      <c r="G41" s="1">
        <v>650</v>
      </c>
      <c r="H41" s="1">
        <v>10</v>
      </c>
      <c r="I41" s="1" t="s">
        <v>34</v>
      </c>
      <c r="J41" s="1" t="s">
        <v>25</v>
      </c>
      <c r="K41" s="1" t="s">
        <v>25</v>
      </c>
      <c r="L41" s="1">
        <v>72</v>
      </c>
      <c r="M41" s="1">
        <v>4600</v>
      </c>
      <c r="N41" s="3">
        <f t="shared" si="0"/>
        <v>15</v>
      </c>
      <c r="O41" s="3">
        <f t="shared" si="1"/>
        <v>5</v>
      </c>
      <c r="P41" s="3" t="str">
        <f t="shared" si="2"/>
        <v>Yes</v>
      </c>
      <c r="Q41" s="3">
        <f t="shared" si="3"/>
        <v>5</v>
      </c>
      <c r="R41" s="3">
        <f t="shared" si="4"/>
        <v>46800</v>
      </c>
      <c r="S41" s="3">
        <f t="shared" si="11"/>
        <v>0</v>
      </c>
      <c r="T41" s="3">
        <f t="shared" si="6"/>
        <v>2.5</v>
      </c>
      <c r="U41" s="3">
        <f t="shared" si="7"/>
        <v>11500</v>
      </c>
      <c r="V41" s="1">
        <f t="shared" si="12"/>
        <v>5</v>
      </c>
      <c r="W41" s="1">
        <f t="shared" si="13"/>
        <v>0.8125</v>
      </c>
      <c r="X41" s="1">
        <f t="shared" si="14"/>
        <v>2097325</v>
      </c>
    </row>
    <row r="42" spans="1:24" ht="12.75" x14ac:dyDescent="0.2">
      <c r="A42" s="1" t="s">
        <v>68</v>
      </c>
      <c r="B42" s="1" t="s">
        <v>32</v>
      </c>
      <c r="C42" s="2">
        <v>45034</v>
      </c>
      <c r="D42" s="2">
        <v>45049</v>
      </c>
      <c r="E42" s="2">
        <v>45056</v>
      </c>
      <c r="F42" s="1" t="s">
        <v>33</v>
      </c>
      <c r="G42" s="1">
        <v>520</v>
      </c>
      <c r="H42" s="1">
        <v>15</v>
      </c>
      <c r="I42" s="1" t="s">
        <v>34</v>
      </c>
      <c r="J42" s="1" t="s">
        <v>25</v>
      </c>
      <c r="K42" s="1" t="s">
        <v>26</v>
      </c>
      <c r="L42" s="1">
        <v>87</v>
      </c>
      <c r="M42" s="1">
        <v>8400</v>
      </c>
      <c r="N42" s="3">
        <f t="shared" si="0"/>
        <v>22</v>
      </c>
      <c r="O42" s="3">
        <f t="shared" si="1"/>
        <v>7</v>
      </c>
      <c r="P42" s="3" t="str">
        <f t="shared" si="2"/>
        <v>Yes</v>
      </c>
      <c r="Q42" s="3">
        <f t="shared" si="3"/>
        <v>7</v>
      </c>
      <c r="R42" s="3">
        <f t="shared" si="4"/>
        <v>45240</v>
      </c>
      <c r="S42" s="3">
        <f t="shared" si="11"/>
        <v>0</v>
      </c>
      <c r="T42" s="3">
        <f t="shared" si="6"/>
        <v>4</v>
      </c>
      <c r="U42" s="3">
        <f t="shared" si="7"/>
        <v>58800</v>
      </c>
      <c r="V42" s="1">
        <f t="shared" si="12"/>
        <v>7</v>
      </c>
      <c r="W42" s="1">
        <f t="shared" si="13"/>
        <v>0.8125</v>
      </c>
      <c r="X42" s="1">
        <f t="shared" si="14"/>
        <v>2097325</v>
      </c>
    </row>
    <row r="43" spans="1:24" ht="12.75" x14ac:dyDescent="0.2">
      <c r="A43" s="1" t="s">
        <v>21</v>
      </c>
      <c r="B43" s="1" t="s">
        <v>22</v>
      </c>
      <c r="C43" s="2">
        <v>45036</v>
      </c>
      <c r="D43" s="2">
        <v>45056</v>
      </c>
      <c r="E43" s="2">
        <v>45065</v>
      </c>
      <c r="F43" s="1" t="s">
        <v>23</v>
      </c>
      <c r="G43" s="1">
        <v>1350</v>
      </c>
      <c r="H43" s="1">
        <v>20</v>
      </c>
      <c r="I43" s="1" t="s">
        <v>24</v>
      </c>
      <c r="J43" s="1" t="s">
        <v>26</v>
      </c>
      <c r="K43" s="1" t="s">
        <v>26</v>
      </c>
      <c r="L43" s="1">
        <v>45</v>
      </c>
      <c r="M43" s="1">
        <v>9500</v>
      </c>
      <c r="N43" s="3">
        <f t="shared" si="0"/>
        <v>29</v>
      </c>
      <c r="O43" s="3">
        <f t="shared" si="1"/>
        <v>9</v>
      </c>
      <c r="P43" s="3" t="str">
        <f t="shared" si="2"/>
        <v>Yes</v>
      </c>
      <c r="Q43" s="3">
        <f t="shared" si="3"/>
        <v>9</v>
      </c>
      <c r="R43" s="3">
        <f t="shared" si="4"/>
        <v>60750</v>
      </c>
      <c r="S43" s="3">
        <f t="shared" si="11"/>
        <v>0</v>
      </c>
      <c r="T43" s="3">
        <f t="shared" si="6"/>
        <v>8</v>
      </c>
      <c r="U43" s="3">
        <f t="shared" si="7"/>
        <v>85500</v>
      </c>
      <c r="V43" s="1">
        <f t="shared" si="12"/>
        <v>5.5</v>
      </c>
      <c r="W43" s="1">
        <f t="shared" si="13"/>
        <v>0.8125</v>
      </c>
      <c r="X43" s="1">
        <f t="shared" si="14"/>
        <v>2097325</v>
      </c>
    </row>
    <row r="44" spans="1:24" ht="12.75" hidden="1" x14ac:dyDescent="0.2">
      <c r="A44" s="1" t="s">
        <v>69</v>
      </c>
      <c r="B44" s="1" t="s">
        <v>28</v>
      </c>
      <c r="C44" s="2">
        <v>45038</v>
      </c>
      <c r="D44" s="2">
        <v>45053</v>
      </c>
      <c r="E44" s="2">
        <v>45052</v>
      </c>
      <c r="F44" s="1" t="s">
        <v>41</v>
      </c>
      <c r="G44" s="1">
        <v>370</v>
      </c>
      <c r="H44" s="1">
        <v>15</v>
      </c>
      <c r="I44" s="1" t="s">
        <v>30</v>
      </c>
      <c r="J44" s="1" t="s">
        <v>25</v>
      </c>
      <c r="K44" s="1" t="s">
        <v>26</v>
      </c>
      <c r="L44" s="1">
        <v>302</v>
      </c>
      <c r="M44" s="1">
        <v>14850</v>
      </c>
      <c r="N44" s="3">
        <f t="shared" si="0"/>
        <v>14</v>
      </c>
      <c r="O44" s="3">
        <f t="shared" si="1"/>
        <v>-1</v>
      </c>
      <c r="P44" s="3" t="str">
        <f t="shared" si="2"/>
        <v>No</v>
      </c>
      <c r="Q44" s="3">
        <f t="shared" si="3"/>
        <v>0</v>
      </c>
      <c r="R44" s="3">
        <f t="shared" si="4"/>
        <v>111740</v>
      </c>
      <c r="S44" s="3">
        <f t="shared" si="11"/>
        <v>1</v>
      </c>
      <c r="T44" s="3">
        <f t="shared" si="6"/>
        <v>0</v>
      </c>
      <c r="U44" s="3">
        <f t="shared" si="7"/>
        <v>0</v>
      </c>
      <c r="V44" s="1">
        <f t="shared" si="12"/>
        <v>0</v>
      </c>
      <c r="W44" s="1">
        <f t="shared" si="13"/>
        <v>0.8125</v>
      </c>
      <c r="X44" s="1">
        <f t="shared" si="14"/>
        <v>2097325</v>
      </c>
    </row>
    <row r="45" spans="1:24" ht="12.75" x14ac:dyDescent="0.2">
      <c r="A45" s="1" t="s">
        <v>70</v>
      </c>
      <c r="B45" s="1" t="s">
        <v>22</v>
      </c>
      <c r="C45" s="2">
        <v>45041</v>
      </c>
      <c r="D45" s="2">
        <v>45061</v>
      </c>
      <c r="E45" s="2">
        <v>45075</v>
      </c>
      <c r="F45" s="1" t="s">
        <v>36</v>
      </c>
      <c r="G45" s="1">
        <v>580</v>
      </c>
      <c r="H45" s="1">
        <v>20</v>
      </c>
      <c r="I45" s="1" t="s">
        <v>24</v>
      </c>
      <c r="J45" s="1" t="s">
        <v>26</v>
      </c>
      <c r="K45" s="1" t="s">
        <v>26</v>
      </c>
      <c r="L45" s="1">
        <v>212</v>
      </c>
      <c r="M45" s="1">
        <v>11700</v>
      </c>
      <c r="N45" s="3">
        <f t="shared" si="0"/>
        <v>34</v>
      </c>
      <c r="O45" s="3">
        <f t="shared" si="1"/>
        <v>14</v>
      </c>
      <c r="P45" s="3" t="str">
        <f t="shared" si="2"/>
        <v>Yes</v>
      </c>
      <c r="Q45" s="3">
        <f t="shared" si="3"/>
        <v>14</v>
      </c>
      <c r="R45" s="3">
        <f t="shared" si="4"/>
        <v>122960</v>
      </c>
      <c r="S45" s="3">
        <f t="shared" si="11"/>
        <v>0</v>
      </c>
      <c r="T45" s="3">
        <f t="shared" si="6"/>
        <v>8.5</v>
      </c>
      <c r="U45" s="3">
        <f t="shared" si="7"/>
        <v>163800</v>
      </c>
      <c r="V45" s="1">
        <f t="shared" si="12"/>
        <v>14</v>
      </c>
      <c r="W45" s="1">
        <f t="shared" si="13"/>
        <v>0.8125</v>
      </c>
      <c r="X45" s="1">
        <f t="shared" si="14"/>
        <v>2097325</v>
      </c>
    </row>
    <row r="46" spans="1:24" ht="12.75" hidden="1" x14ac:dyDescent="0.2">
      <c r="A46" s="1" t="s">
        <v>71</v>
      </c>
      <c r="B46" s="1" t="s">
        <v>32</v>
      </c>
      <c r="C46" s="2">
        <v>45044</v>
      </c>
      <c r="D46" s="2">
        <v>45054</v>
      </c>
      <c r="E46" s="2">
        <v>45053</v>
      </c>
      <c r="F46" s="1" t="s">
        <v>38</v>
      </c>
      <c r="G46" s="1">
        <v>1550</v>
      </c>
      <c r="H46" s="1">
        <v>10</v>
      </c>
      <c r="I46" s="1" t="s">
        <v>34</v>
      </c>
      <c r="J46" s="1" t="s">
        <v>25</v>
      </c>
      <c r="K46" s="1" t="s">
        <v>25</v>
      </c>
      <c r="L46" s="1">
        <v>18</v>
      </c>
      <c r="M46" s="1">
        <v>2500</v>
      </c>
      <c r="N46" s="3">
        <f t="shared" si="0"/>
        <v>9</v>
      </c>
      <c r="O46" s="3">
        <f t="shared" si="1"/>
        <v>-1</v>
      </c>
      <c r="P46" s="3" t="str">
        <f t="shared" si="2"/>
        <v>No</v>
      </c>
      <c r="Q46" s="3">
        <f t="shared" si="3"/>
        <v>0</v>
      </c>
      <c r="R46" s="3">
        <f t="shared" si="4"/>
        <v>27900</v>
      </c>
      <c r="S46" s="3">
        <f t="shared" si="11"/>
        <v>1</v>
      </c>
      <c r="T46" s="3">
        <f t="shared" si="6"/>
        <v>0</v>
      </c>
      <c r="U46" s="3">
        <f t="shared" si="7"/>
        <v>0</v>
      </c>
      <c r="V46" s="1">
        <f t="shared" si="12"/>
        <v>0</v>
      </c>
      <c r="W46" s="1">
        <f t="shared" si="13"/>
        <v>0.8125</v>
      </c>
      <c r="X46" s="1">
        <f t="shared" si="14"/>
        <v>2097325</v>
      </c>
    </row>
    <row r="47" spans="1:24" ht="12.75" hidden="1" x14ac:dyDescent="0.2">
      <c r="A47" s="1" t="s">
        <v>72</v>
      </c>
      <c r="B47" s="1" t="s">
        <v>28</v>
      </c>
      <c r="C47" s="2">
        <v>45047</v>
      </c>
      <c r="D47" s="2">
        <v>45057</v>
      </c>
      <c r="E47" s="2">
        <v>45059</v>
      </c>
      <c r="F47" s="1" t="s">
        <v>29</v>
      </c>
      <c r="G47" s="1">
        <v>880</v>
      </c>
      <c r="H47" s="1">
        <v>10</v>
      </c>
      <c r="I47" s="1" t="s">
        <v>34</v>
      </c>
      <c r="J47" s="1" t="s">
        <v>25</v>
      </c>
      <c r="K47" s="1" t="s">
        <v>25</v>
      </c>
      <c r="L47" s="1">
        <v>121</v>
      </c>
      <c r="M47" s="1">
        <v>3650</v>
      </c>
      <c r="N47" s="3">
        <f t="shared" si="0"/>
        <v>12</v>
      </c>
      <c r="O47" s="3">
        <f t="shared" si="1"/>
        <v>2</v>
      </c>
      <c r="P47" s="3" t="str">
        <f t="shared" si="2"/>
        <v>Yes</v>
      </c>
      <c r="Q47" s="3">
        <f t="shared" si="3"/>
        <v>2</v>
      </c>
      <c r="R47" s="3">
        <f t="shared" si="4"/>
        <v>106480</v>
      </c>
      <c r="S47" s="3">
        <f t="shared" si="11"/>
        <v>0</v>
      </c>
      <c r="T47" s="3">
        <f t="shared" si="6"/>
        <v>1</v>
      </c>
      <c r="U47" s="3">
        <f t="shared" si="7"/>
        <v>3650</v>
      </c>
      <c r="V47" s="1">
        <f t="shared" si="12"/>
        <v>2</v>
      </c>
      <c r="W47" s="1">
        <f t="shared" si="13"/>
        <v>0.8125</v>
      </c>
      <c r="X47" s="1">
        <f t="shared" si="14"/>
        <v>2097325</v>
      </c>
    </row>
    <row r="48" spans="1:24" ht="12.75" x14ac:dyDescent="0.2">
      <c r="A48" s="1" t="s">
        <v>73</v>
      </c>
      <c r="B48" s="1" t="s">
        <v>22</v>
      </c>
      <c r="C48" s="2">
        <v>45049</v>
      </c>
      <c r="D48" s="2">
        <v>45069</v>
      </c>
      <c r="E48" s="2">
        <v>45074</v>
      </c>
      <c r="F48" s="1" t="s">
        <v>33</v>
      </c>
      <c r="G48" s="1">
        <v>470</v>
      </c>
      <c r="H48" s="1">
        <v>20</v>
      </c>
      <c r="I48" s="1" t="s">
        <v>24</v>
      </c>
      <c r="J48" s="1" t="s">
        <v>25</v>
      </c>
      <c r="K48" s="1" t="s">
        <v>26</v>
      </c>
      <c r="L48" s="1">
        <v>89</v>
      </c>
      <c r="M48" s="1">
        <v>8450</v>
      </c>
      <c r="N48" s="3">
        <f t="shared" si="0"/>
        <v>25</v>
      </c>
      <c r="O48" s="3">
        <f t="shared" si="1"/>
        <v>5</v>
      </c>
      <c r="P48" s="3" t="str">
        <f t="shared" si="2"/>
        <v>Yes</v>
      </c>
      <c r="Q48" s="3">
        <f t="shared" si="3"/>
        <v>5</v>
      </c>
      <c r="R48" s="3">
        <f t="shared" si="4"/>
        <v>41830</v>
      </c>
      <c r="S48" s="3">
        <f t="shared" si="11"/>
        <v>0</v>
      </c>
      <c r="T48" s="3">
        <f t="shared" si="6"/>
        <v>3</v>
      </c>
      <c r="U48" s="3">
        <f t="shared" si="7"/>
        <v>42250</v>
      </c>
      <c r="V48" s="1">
        <f t="shared" si="12"/>
        <v>5</v>
      </c>
      <c r="W48" s="1">
        <f t="shared" si="13"/>
        <v>0.8125</v>
      </c>
      <c r="X48" s="1">
        <f t="shared" si="14"/>
        <v>2097325</v>
      </c>
    </row>
    <row r="49" spans="1:24" ht="12.75" hidden="1" x14ac:dyDescent="0.2">
      <c r="A49" s="1" t="s">
        <v>74</v>
      </c>
      <c r="B49" s="1" t="s">
        <v>32</v>
      </c>
      <c r="C49" s="2">
        <v>45052</v>
      </c>
      <c r="D49" s="2">
        <v>45062</v>
      </c>
      <c r="E49" s="2">
        <v>45063</v>
      </c>
      <c r="F49" s="1" t="s">
        <v>23</v>
      </c>
      <c r="G49" s="1">
        <v>1900</v>
      </c>
      <c r="H49" s="1">
        <v>10</v>
      </c>
      <c r="I49" s="1" t="s">
        <v>30</v>
      </c>
      <c r="J49" s="1" t="s">
        <v>25</v>
      </c>
      <c r="K49" s="1" t="s">
        <v>26</v>
      </c>
      <c r="L49" s="1">
        <v>47</v>
      </c>
      <c r="M49" s="1">
        <v>9150</v>
      </c>
      <c r="N49" s="3">
        <f t="shared" si="0"/>
        <v>11</v>
      </c>
      <c r="O49" s="3">
        <f t="shared" si="1"/>
        <v>1</v>
      </c>
      <c r="P49" s="3" t="str">
        <f t="shared" si="2"/>
        <v>Yes</v>
      </c>
      <c r="Q49" s="3">
        <f t="shared" si="3"/>
        <v>1</v>
      </c>
      <c r="R49" s="3">
        <f t="shared" si="4"/>
        <v>89300</v>
      </c>
      <c r="S49" s="3">
        <f t="shared" si="11"/>
        <v>0</v>
      </c>
      <c r="T49" s="3">
        <f t="shared" si="6"/>
        <v>1</v>
      </c>
      <c r="U49" s="3">
        <f t="shared" si="7"/>
        <v>9150</v>
      </c>
      <c r="V49" s="1">
        <f t="shared" si="12"/>
        <v>1</v>
      </c>
      <c r="W49" s="1">
        <f t="shared" si="13"/>
        <v>0.8125</v>
      </c>
      <c r="X49" s="1">
        <f t="shared" si="14"/>
        <v>2097325</v>
      </c>
    </row>
    <row r="50" spans="1:24" ht="12.75" hidden="1" x14ac:dyDescent="0.2">
      <c r="A50" s="1" t="s">
        <v>75</v>
      </c>
      <c r="B50" s="1" t="s">
        <v>28</v>
      </c>
      <c r="C50" s="2">
        <v>45054</v>
      </c>
      <c r="D50" s="2">
        <v>45069</v>
      </c>
      <c r="E50" s="2">
        <v>45070</v>
      </c>
      <c r="F50" s="1" t="s">
        <v>41</v>
      </c>
      <c r="G50" s="1">
        <v>340</v>
      </c>
      <c r="H50" s="1">
        <v>15</v>
      </c>
      <c r="I50" s="1" t="s">
        <v>34</v>
      </c>
      <c r="J50" s="1" t="s">
        <v>25</v>
      </c>
      <c r="K50" s="1" t="s">
        <v>26</v>
      </c>
      <c r="L50" s="1">
        <v>297</v>
      </c>
      <c r="M50" s="1">
        <v>14650</v>
      </c>
      <c r="N50" s="3">
        <f t="shared" si="0"/>
        <v>16</v>
      </c>
      <c r="O50" s="3">
        <f t="shared" si="1"/>
        <v>1</v>
      </c>
      <c r="P50" s="3" t="str">
        <f t="shared" si="2"/>
        <v>Yes</v>
      </c>
      <c r="Q50" s="3">
        <f t="shared" si="3"/>
        <v>1</v>
      </c>
      <c r="R50" s="3">
        <f t="shared" si="4"/>
        <v>100980</v>
      </c>
      <c r="S50" s="3">
        <f t="shared" si="11"/>
        <v>0</v>
      </c>
      <c r="T50" s="3">
        <f t="shared" si="6"/>
        <v>1</v>
      </c>
      <c r="U50" s="3">
        <f t="shared" si="7"/>
        <v>14650</v>
      </c>
      <c r="V50" s="1">
        <f t="shared" si="12"/>
        <v>1</v>
      </c>
      <c r="W50" s="1">
        <f t="shared" si="13"/>
        <v>0.8125</v>
      </c>
      <c r="X50" s="1">
        <f t="shared" si="14"/>
        <v>2097325</v>
      </c>
    </row>
    <row r="51" spans="1:24" ht="12.75" x14ac:dyDescent="0.2">
      <c r="A51" s="1" t="s">
        <v>35</v>
      </c>
      <c r="B51" s="1" t="s">
        <v>22</v>
      </c>
      <c r="C51" s="2">
        <v>45056</v>
      </c>
      <c r="D51" s="2">
        <v>45076</v>
      </c>
      <c r="E51" s="2">
        <v>45089</v>
      </c>
      <c r="F51" s="1" t="s">
        <v>36</v>
      </c>
      <c r="G51" s="1">
        <v>670</v>
      </c>
      <c r="H51" s="1">
        <v>20</v>
      </c>
      <c r="I51" s="1" t="s">
        <v>24</v>
      </c>
      <c r="J51" s="1" t="s">
        <v>26</v>
      </c>
      <c r="K51" s="1" t="s">
        <v>26</v>
      </c>
      <c r="L51" s="1">
        <v>220</v>
      </c>
      <c r="M51" s="1">
        <v>12000</v>
      </c>
      <c r="N51" s="3">
        <f t="shared" si="0"/>
        <v>33</v>
      </c>
      <c r="O51" s="3">
        <f t="shared" si="1"/>
        <v>13</v>
      </c>
      <c r="P51" s="3" t="str">
        <f t="shared" si="2"/>
        <v>Yes</v>
      </c>
      <c r="Q51" s="3">
        <f t="shared" si="3"/>
        <v>13</v>
      </c>
      <c r="R51" s="3">
        <f t="shared" si="4"/>
        <v>147400</v>
      </c>
      <c r="S51" s="3">
        <f t="shared" si="11"/>
        <v>0</v>
      </c>
      <c r="T51" s="3">
        <f t="shared" si="6"/>
        <v>8.5</v>
      </c>
      <c r="U51" s="3">
        <f t="shared" si="7"/>
        <v>156000</v>
      </c>
      <c r="V51" s="1">
        <f t="shared" si="12"/>
        <v>12.8</v>
      </c>
      <c r="W51" s="1">
        <f t="shared" si="13"/>
        <v>0.8125</v>
      </c>
      <c r="X51" s="1">
        <f t="shared" si="14"/>
        <v>2097325</v>
      </c>
    </row>
    <row r="52" spans="1:24" ht="12.75" hidden="1" x14ac:dyDescent="0.2">
      <c r="A52" s="1" t="s">
        <v>76</v>
      </c>
      <c r="B52" s="1" t="s">
        <v>32</v>
      </c>
      <c r="C52" s="2">
        <v>45058</v>
      </c>
      <c r="D52" s="2">
        <v>45073</v>
      </c>
      <c r="E52" s="2">
        <v>45072</v>
      </c>
      <c r="F52" s="1" t="s">
        <v>42</v>
      </c>
      <c r="G52" s="1">
        <v>980</v>
      </c>
      <c r="H52" s="1">
        <v>15</v>
      </c>
      <c r="I52" s="1" t="s">
        <v>30</v>
      </c>
      <c r="J52" s="1" t="s">
        <v>25</v>
      </c>
      <c r="K52" s="1" t="s">
        <v>25</v>
      </c>
      <c r="L52" s="1">
        <v>69</v>
      </c>
      <c r="M52" s="1">
        <v>4400</v>
      </c>
      <c r="N52" s="3">
        <f t="shared" si="0"/>
        <v>14</v>
      </c>
      <c r="O52" s="3">
        <f t="shared" si="1"/>
        <v>-1</v>
      </c>
      <c r="P52" s="3" t="str">
        <f t="shared" si="2"/>
        <v>No</v>
      </c>
      <c r="Q52" s="3">
        <f t="shared" si="3"/>
        <v>0</v>
      </c>
      <c r="R52" s="3">
        <f t="shared" si="4"/>
        <v>67620</v>
      </c>
      <c r="S52" s="3">
        <f t="shared" si="11"/>
        <v>1</v>
      </c>
      <c r="T52" s="3">
        <f t="shared" si="6"/>
        <v>0</v>
      </c>
      <c r="U52" s="3">
        <f t="shared" si="7"/>
        <v>0</v>
      </c>
      <c r="V52" s="1">
        <f t="shared" si="12"/>
        <v>0</v>
      </c>
      <c r="W52" s="1">
        <f t="shared" si="13"/>
        <v>0.8125</v>
      </c>
      <c r="X52" s="1">
        <f t="shared" si="14"/>
        <v>2097325</v>
      </c>
    </row>
    <row r="53" spans="1:24" ht="12.75" hidden="1" x14ac:dyDescent="0.2">
      <c r="A53" s="1" t="s">
        <v>77</v>
      </c>
      <c r="B53" s="1" t="s">
        <v>22</v>
      </c>
      <c r="C53" s="2">
        <v>45061</v>
      </c>
      <c r="D53" s="2">
        <v>45081</v>
      </c>
      <c r="E53" s="2">
        <v>45083</v>
      </c>
      <c r="F53" s="1" t="s">
        <v>29</v>
      </c>
      <c r="G53" s="1">
        <v>910</v>
      </c>
      <c r="H53" s="1">
        <v>20</v>
      </c>
      <c r="I53" s="1" t="s">
        <v>24</v>
      </c>
      <c r="J53" s="1" t="s">
        <v>25</v>
      </c>
      <c r="K53" s="1" t="s">
        <v>25</v>
      </c>
      <c r="L53" s="1">
        <v>119</v>
      </c>
      <c r="M53" s="1">
        <v>3600</v>
      </c>
      <c r="N53" s="3">
        <f t="shared" si="0"/>
        <v>22</v>
      </c>
      <c r="O53" s="3">
        <f t="shared" si="1"/>
        <v>2</v>
      </c>
      <c r="P53" s="3" t="str">
        <f t="shared" si="2"/>
        <v>Yes</v>
      </c>
      <c r="Q53" s="3">
        <f t="shared" si="3"/>
        <v>2</v>
      </c>
      <c r="R53" s="3">
        <f t="shared" si="4"/>
        <v>108290</v>
      </c>
      <c r="S53" s="3">
        <f t="shared" si="11"/>
        <v>0</v>
      </c>
      <c r="T53" s="3">
        <f t="shared" si="6"/>
        <v>1</v>
      </c>
      <c r="U53" s="3">
        <f t="shared" si="7"/>
        <v>3600</v>
      </c>
      <c r="V53" s="1">
        <f t="shared" si="12"/>
        <v>2</v>
      </c>
      <c r="W53" s="1">
        <f t="shared" si="13"/>
        <v>0.8125</v>
      </c>
      <c r="X53" s="1">
        <f t="shared" si="14"/>
        <v>2097325</v>
      </c>
    </row>
    <row r="54" spans="1:24" ht="12.75" hidden="1" x14ac:dyDescent="0.2">
      <c r="A54" s="1" t="s">
        <v>78</v>
      </c>
      <c r="B54" s="1" t="s">
        <v>28</v>
      </c>
      <c r="C54" s="2">
        <v>45064</v>
      </c>
      <c r="D54" s="2">
        <v>45074</v>
      </c>
      <c r="E54" s="2">
        <v>45078</v>
      </c>
      <c r="F54" s="1" t="s">
        <v>38</v>
      </c>
      <c r="G54" s="1">
        <v>1350</v>
      </c>
      <c r="H54" s="1">
        <v>10</v>
      </c>
      <c r="I54" s="1" t="s">
        <v>34</v>
      </c>
      <c r="J54" s="1" t="s">
        <v>25</v>
      </c>
      <c r="K54" s="1" t="s">
        <v>25</v>
      </c>
      <c r="L54" s="1">
        <v>19</v>
      </c>
      <c r="M54" s="1">
        <v>2600</v>
      </c>
      <c r="N54" s="3">
        <f t="shared" si="0"/>
        <v>14</v>
      </c>
      <c r="O54" s="3">
        <f t="shared" si="1"/>
        <v>4</v>
      </c>
      <c r="P54" s="3" t="str">
        <f t="shared" si="2"/>
        <v>Yes</v>
      </c>
      <c r="Q54" s="3">
        <f t="shared" si="3"/>
        <v>4</v>
      </c>
      <c r="R54" s="3">
        <f t="shared" si="4"/>
        <v>25650</v>
      </c>
      <c r="S54" s="3">
        <f t="shared" si="11"/>
        <v>0</v>
      </c>
      <c r="T54" s="3">
        <f t="shared" si="6"/>
        <v>2</v>
      </c>
      <c r="U54" s="3">
        <f t="shared" si="7"/>
        <v>5200</v>
      </c>
      <c r="V54" s="1">
        <f t="shared" si="12"/>
        <v>4</v>
      </c>
      <c r="W54" s="1">
        <f t="shared" si="13"/>
        <v>0.8125</v>
      </c>
      <c r="X54" s="1">
        <f t="shared" si="14"/>
        <v>2097325</v>
      </c>
    </row>
    <row r="55" spans="1:24" ht="12.75" x14ac:dyDescent="0.2">
      <c r="A55" s="1" t="s">
        <v>31</v>
      </c>
      <c r="B55" s="1" t="s">
        <v>32</v>
      </c>
      <c r="C55" s="2">
        <v>45066</v>
      </c>
      <c r="D55" s="2">
        <v>45078</v>
      </c>
      <c r="E55" s="2">
        <v>45085</v>
      </c>
      <c r="F55" s="1" t="s">
        <v>33</v>
      </c>
      <c r="G55" s="1">
        <v>430</v>
      </c>
      <c r="H55" s="1">
        <v>12</v>
      </c>
      <c r="I55" s="1" t="s">
        <v>34</v>
      </c>
      <c r="J55" s="1" t="s">
        <v>25</v>
      </c>
      <c r="K55" s="1" t="s">
        <v>26</v>
      </c>
      <c r="L55" s="1">
        <v>85</v>
      </c>
      <c r="M55" s="1">
        <v>8200</v>
      </c>
      <c r="N55" s="3">
        <f t="shared" si="0"/>
        <v>19</v>
      </c>
      <c r="O55" s="3">
        <f t="shared" si="1"/>
        <v>7</v>
      </c>
      <c r="P55" s="3" t="str">
        <f t="shared" si="2"/>
        <v>Yes</v>
      </c>
      <c r="Q55" s="3">
        <f t="shared" si="3"/>
        <v>7</v>
      </c>
      <c r="R55" s="3">
        <f t="shared" si="4"/>
        <v>36550</v>
      </c>
      <c r="S55" s="3">
        <f t="shared" si="11"/>
        <v>0</v>
      </c>
      <c r="T55" s="3">
        <f t="shared" si="6"/>
        <v>4</v>
      </c>
      <c r="U55" s="3">
        <f t="shared" si="7"/>
        <v>57400</v>
      </c>
      <c r="V55" s="1">
        <f t="shared" si="12"/>
        <v>7</v>
      </c>
      <c r="W55" s="1">
        <f t="shared" si="13"/>
        <v>0.8125</v>
      </c>
      <c r="X55" s="1">
        <f t="shared" si="14"/>
        <v>2097325</v>
      </c>
    </row>
    <row r="56" spans="1:24" ht="12.75" x14ac:dyDescent="0.2">
      <c r="A56" s="1" t="s">
        <v>21</v>
      </c>
      <c r="B56" s="1" t="s">
        <v>22</v>
      </c>
      <c r="C56" s="2">
        <v>45068</v>
      </c>
      <c r="D56" s="2">
        <v>45088</v>
      </c>
      <c r="E56" s="2">
        <v>45093</v>
      </c>
      <c r="F56" s="1" t="s">
        <v>23</v>
      </c>
      <c r="G56" s="1">
        <v>1280</v>
      </c>
      <c r="H56" s="1">
        <v>20</v>
      </c>
      <c r="I56" s="1" t="s">
        <v>24</v>
      </c>
      <c r="J56" s="1" t="s">
        <v>25</v>
      </c>
      <c r="K56" s="1" t="s">
        <v>26</v>
      </c>
      <c r="L56" s="1">
        <v>45</v>
      </c>
      <c r="M56" s="1">
        <v>9500</v>
      </c>
      <c r="N56" s="3">
        <f t="shared" si="0"/>
        <v>25</v>
      </c>
      <c r="O56" s="3">
        <f t="shared" si="1"/>
        <v>5</v>
      </c>
      <c r="P56" s="3" t="str">
        <f t="shared" si="2"/>
        <v>Yes</v>
      </c>
      <c r="Q56" s="3">
        <f t="shared" si="3"/>
        <v>5</v>
      </c>
      <c r="R56" s="3">
        <f t="shared" si="4"/>
        <v>57600</v>
      </c>
      <c r="S56" s="3">
        <f t="shared" si="11"/>
        <v>0</v>
      </c>
      <c r="T56" s="3">
        <f t="shared" si="6"/>
        <v>3</v>
      </c>
      <c r="U56" s="3">
        <f t="shared" si="7"/>
        <v>47500</v>
      </c>
      <c r="V56" s="1">
        <f t="shared" si="12"/>
        <v>5.5</v>
      </c>
      <c r="W56" s="1">
        <f t="shared" si="13"/>
        <v>0.8125</v>
      </c>
      <c r="X56" s="1">
        <f t="shared" si="14"/>
        <v>2097325</v>
      </c>
    </row>
    <row r="57" spans="1:24" ht="12.75" hidden="1" x14ac:dyDescent="0.2">
      <c r="A57" s="1" t="s">
        <v>79</v>
      </c>
      <c r="B57" s="1" t="s">
        <v>28</v>
      </c>
      <c r="C57" s="2">
        <v>45071</v>
      </c>
      <c r="D57" s="2">
        <v>45086</v>
      </c>
      <c r="E57" s="2">
        <v>45085</v>
      </c>
      <c r="F57" s="1" t="s">
        <v>41</v>
      </c>
      <c r="G57" s="1">
        <v>360</v>
      </c>
      <c r="H57" s="1">
        <v>15</v>
      </c>
      <c r="I57" s="1" t="s">
        <v>30</v>
      </c>
      <c r="J57" s="1" t="s">
        <v>25</v>
      </c>
      <c r="K57" s="1" t="s">
        <v>26</v>
      </c>
      <c r="L57" s="1">
        <v>299</v>
      </c>
      <c r="M57" s="1">
        <v>14750</v>
      </c>
      <c r="N57" s="3">
        <f t="shared" si="0"/>
        <v>14</v>
      </c>
      <c r="O57" s="3">
        <f t="shared" si="1"/>
        <v>-1</v>
      </c>
      <c r="P57" s="3" t="str">
        <f t="shared" si="2"/>
        <v>No</v>
      </c>
      <c r="Q57" s="3">
        <f t="shared" si="3"/>
        <v>0</v>
      </c>
      <c r="R57" s="3">
        <f t="shared" si="4"/>
        <v>107640</v>
      </c>
      <c r="S57" s="3">
        <f t="shared" si="11"/>
        <v>1</v>
      </c>
      <c r="T57" s="3">
        <f t="shared" si="6"/>
        <v>0</v>
      </c>
      <c r="U57" s="3">
        <f t="shared" si="7"/>
        <v>0</v>
      </c>
      <c r="V57" s="1">
        <f t="shared" si="12"/>
        <v>0</v>
      </c>
      <c r="W57" s="1">
        <f t="shared" si="13"/>
        <v>0.8125</v>
      </c>
      <c r="X57" s="1">
        <f t="shared" si="14"/>
        <v>2097325</v>
      </c>
    </row>
    <row r="58" spans="1:24" ht="12.75" hidden="1" x14ac:dyDescent="0.2">
      <c r="A58" s="1" t="s">
        <v>80</v>
      </c>
      <c r="B58" s="1" t="s">
        <v>32</v>
      </c>
      <c r="C58" s="2">
        <v>45074</v>
      </c>
      <c r="D58" s="2">
        <v>45084</v>
      </c>
      <c r="E58" s="2">
        <v>45083</v>
      </c>
      <c r="F58" s="1" t="s">
        <v>36</v>
      </c>
      <c r="G58" s="1">
        <v>590</v>
      </c>
      <c r="H58" s="1">
        <v>10</v>
      </c>
      <c r="I58" s="1" t="s">
        <v>30</v>
      </c>
      <c r="J58" s="1" t="s">
        <v>25</v>
      </c>
      <c r="K58" s="1" t="s">
        <v>26</v>
      </c>
      <c r="L58" s="1">
        <v>225</v>
      </c>
      <c r="M58" s="1">
        <v>12200</v>
      </c>
      <c r="N58" s="3">
        <f t="shared" si="0"/>
        <v>9</v>
      </c>
      <c r="O58" s="3">
        <f t="shared" si="1"/>
        <v>-1</v>
      </c>
      <c r="P58" s="3" t="str">
        <f t="shared" si="2"/>
        <v>No</v>
      </c>
      <c r="Q58" s="3">
        <f t="shared" si="3"/>
        <v>0</v>
      </c>
      <c r="R58" s="3">
        <f t="shared" si="4"/>
        <v>132750</v>
      </c>
      <c r="S58" s="3">
        <f t="shared" si="11"/>
        <v>1</v>
      </c>
      <c r="T58" s="3">
        <f t="shared" si="6"/>
        <v>0</v>
      </c>
      <c r="U58" s="3">
        <f t="shared" si="7"/>
        <v>0</v>
      </c>
      <c r="V58" s="1">
        <f t="shared" si="12"/>
        <v>0</v>
      </c>
      <c r="W58" s="1">
        <f t="shared" si="13"/>
        <v>0.8125</v>
      </c>
      <c r="X58" s="1">
        <f t="shared" si="14"/>
        <v>2097325</v>
      </c>
    </row>
    <row r="59" spans="1:24" ht="12.75" x14ac:dyDescent="0.2">
      <c r="A59" s="1" t="s">
        <v>81</v>
      </c>
      <c r="B59" s="1" t="s">
        <v>22</v>
      </c>
      <c r="C59" s="2">
        <v>45078</v>
      </c>
      <c r="D59" s="2">
        <v>45098</v>
      </c>
      <c r="E59" s="2">
        <v>45108</v>
      </c>
      <c r="F59" s="1" t="s">
        <v>33</v>
      </c>
      <c r="G59" s="1">
        <v>540</v>
      </c>
      <c r="H59" s="1">
        <v>20</v>
      </c>
      <c r="I59" s="1" t="s">
        <v>24</v>
      </c>
      <c r="J59" s="1" t="s">
        <v>26</v>
      </c>
      <c r="K59" s="1" t="s">
        <v>26</v>
      </c>
      <c r="L59" s="1">
        <v>86</v>
      </c>
      <c r="M59" s="1">
        <v>8300</v>
      </c>
      <c r="N59" s="3">
        <f t="shared" si="0"/>
        <v>30</v>
      </c>
      <c r="O59" s="3">
        <f t="shared" si="1"/>
        <v>10</v>
      </c>
      <c r="P59" s="3" t="str">
        <f t="shared" si="2"/>
        <v>Yes</v>
      </c>
      <c r="Q59" s="3">
        <f t="shared" si="3"/>
        <v>10</v>
      </c>
      <c r="R59" s="3">
        <f t="shared" si="4"/>
        <v>46440</v>
      </c>
      <c r="S59" s="3">
        <f t="shared" si="11"/>
        <v>0</v>
      </c>
      <c r="T59" s="3">
        <f t="shared" si="6"/>
        <v>8.5</v>
      </c>
      <c r="U59" s="3">
        <f t="shared" si="7"/>
        <v>83000</v>
      </c>
      <c r="V59" s="1">
        <f t="shared" si="12"/>
        <v>10</v>
      </c>
      <c r="W59" s="1">
        <f t="shared" si="13"/>
        <v>0.8125</v>
      </c>
      <c r="X59" s="1">
        <f t="shared" si="14"/>
        <v>2097325</v>
      </c>
    </row>
    <row r="60" spans="1:24" ht="12.75" hidden="1" x14ac:dyDescent="0.2">
      <c r="A60" s="1" t="s">
        <v>82</v>
      </c>
      <c r="B60" s="1" t="s">
        <v>28</v>
      </c>
      <c r="C60" s="2">
        <v>45080</v>
      </c>
      <c r="D60" s="2">
        <v>45090</v>
      </c>
      <c r="E60" s="2">
        <v>45092</v>
      </c>
      <c r="F60" s="1" t="s">
        <v>42</v>
      </c>
      <c r="G60" s="1">
        <v>700</v>
      </c>
      <c r="H60" s="1">
        <v>10</v>
      </c>
      <c r="I60" s="1" t="s">
        <v>34</v>
      </c>
      <c r="J60" s="1" t="s">
        <v>25</v>
      </c>
      <c r="K60" s="1" t="s">
        <v>25</v>
      </c>
      <c r="L60" s="1">
        <v>71</v>
      </c>
      <c r="M60" s="1">
        <v>4550</v>
      </c>
      <c r="N60" s="3">
        <f t="shared" si="0"/>
        <v>12</v>
      </c>
      <c r="O60" s="3">
        <f t="shared" si="1"/>
        <v>2</v>
      </c>
      <c r="P60" s="3" t="str">
        <f t="shared" si="2"/>
        <v>Yes</v>
      </c>
      <c r="Q60" s="3">
        <f t="shared" si="3"/>
        <v>2</v>
      </c>
      <c r="R60" s="3">
        <f t="shared" si="4"/>
        <v>49700</v>
      </c>
      <c r="S60" s="3">
        <f t="shared" si="11"/>
        <v>0</v>
      </c>
      <c r="T60" s="3">
        <f t="shared" si="6"/>
        <v>1</v>
      </c>
      <c r="U60" s="3">
        <f t="shared" si="7"/>
        <v>4550</v>
      </c>
      <c r="V60" s="1">
        <f t="shared" si="12"/>
        <v>2</v>
      </c>
      <c r="W60" s="1">
        <f t="shared" si="13"/>
        <v>0.8125</v>
      </c>
      <c r="X60" s="1">
        <f t="shared" si="14"/>
        <v>2097325</v>
      </c>
    </row>
    <row r="61" spans="1:24" ht="12.75" hidden="1" x14ac:dyDescent="0.2">
      <c r="A61" s="1" t="s">
        <v>83</v>
      </c>
      <c r="B61" s="1" t="s">
        <v>32</v>
      </c>
      <c r="C61" s="2">
        <v>45082</v>
      </c>
      <c r="D61" s="2">
        <v>45097</v>
      </c>
      <c r="E61" s="2">
        <v>45096</v>
      </c>
      <c r="F61" s="1" t="s">
        <v>29</v>
      </c>
      <c r="G61" s="1">
        <v>850</v>
      </c>
      <c r="H61" s="1">
        <v>15</v>
      </c>
      <c r="I61" s="1" t="s">
        <v>30</v>
      </c>
      <c r="J61" s="1" t="s">
        <v>25</v>
      </c>
      <c r="K61" s="1" t="s">
        <v>25</v>
      </c>
      <c r="L61" s="1">
        <v>123</v>
      </c>
      <c r="M61" s="1">
        <v>3700</v>
      </c>
      <c r="N61" s="3">
        <f t="shared" si="0"/>
        <v>14</v>
      </c>
      <c r="O61" s="3">
        <f t="shared" si="1"/>
        <v>-1</v>
      </c>
      <c r="P61" s="3" t="str">
        <f t="shared" si="2"/>
        <v>No</v>
      </c>
      <c r="Q61" s="3">
        <f t="shared" si="3"/>
        <v>0</v>
      </c>
      <c r="R61" s="3">
        <f t="shared" si="4"/>
        <v>104550</v>
      </c>
      <c r="S61" s="3">
        <f t="shared" si="11"/>
        <v>1</v>
      </c>
      <c r="T61" s="3">
        <f t="shared" si="6"/>
        <v>0</v>
      </c>
      <c r="U61" s="3">
        <f t="shared" si="7"/>
        <v>0</v>
      </c>
      <c r="V61" s="1">
        <f t="shared" si="12"/>
        <v>0</v>
      </c>
      <c r="W61" s="1">
        <f t="shared" si="13"/>
        <v>0.8125</v>
      </c>
      <c r="X61" s="1">
        <f t="shared" si="14"/>
        <v>2097325</v>
      </c>
    </row>
    <row r="62" spans="1:24" ht="12.75" x14ac:dyDescent="0.2">
      <c r="A62" s="1" t="s">
        <v>84</v>
      </c>
      <c r="B62" s="1" t="s">
        <v>22</v>
      </c>
      <c r="C62" s="2">
        <v>45085</v>
      </c>
      <c r="D62" s="2">
        <v>45105</v>
      </c>
      <c r="E62" s="2">
        <v>45112</v>
      </c>
      <c r="F62" s="1" t="s">
        <v>23</v>
      </c>
      <c r="G62" s="1">
        <v>1380</v>
      </c>
      <c r="H62" s="1">
        <v>20</v>
      </c>
      <c r="I62" s="1" t="s">
        <v>24</v>
      </c>
      <c r="J62" s="1" t="s">
        <v>25</v>
      </c>
      <c r="K62" s="1" t="s">
        <v>26</v>
      </c>
      <c r="L62" s="1">
        <v>49</v>
      </c>
      <c r="M62" s="1">
        <v>9250</v>
      </c>
      <c r="N62" s="3">
        <f t="shared" si="0"/>
        <v>27</v>
      </c>
      <c r="O62" s="3">
        <f t="shared" si="1"/>
        <v>7</v>
      </c>
      <c r="P62" s="3" t="str">
        <f t="shared" si="2"/>
        <v>Yes</v>
      </c>
      <c r="Q62" s="3">
        <f t="shared" si="3"/>
        <v>7</v>
      </c>
      <c r="R62" s="3">
        <f t="shared" si="4"/>
        <v>67620</v>
      </c>
      <c r="S62" s="3">
        <f t="shared" si="11"/>
        <v>0</v>
      </c>
      <c r="T62" s="3">
        <f t="shared" si="6"/>
        <v>4</v>
      </c>
      <c r="U62" s="3">
        <f t="shared" si="7"/>
        <v>64750</v>
      </c>
      <c r="V62" s="1">
        <f t="shared" si="12"/>
        <v>7</v>
      </c>
      <c r="W62" s="1">
        <f t="shared" si="13"/>
        <v>0.8125</v>
      </c>
      <c r="X62" s="1">
        <f t="shared" si="14"/>
        <v>2097325</v>
      </c>
    </row>
    <row r="63" spans="1:24" ht="12.75" hidden="1" x14ac:dyDescent="0.2">
      <c r="A63" s="1" t="s">
        <v>85</v>
      </c>
      <c r="B63" s="1" t="s">
        <v>28</v>
      </c>
      <c r="C63" s="2">
        <v>45087</v>
      </c>
      <c r="D63" s="2">
        <v>45102</v>
      </c>
      <c r="E63" s="2">
        <v>45105</v>
      </c>
      <c r="F63" s="1" t="s">
        <v>41</v>
      </c>
      <c r="G63" s="1">
        <v>320</v>
      </c>
      <c r="H63" s="1">
        <v>15</v>
      </c>
      <c r="I63" s="1" t="s">
        <v>34</v>
      </c>
      <c r="J63" s="1" t="s">
        <v>25</v>
      </c>
      <c r="K63" s="1" t="s">
        <v>26</v>
      </c>
      <c r="L63" s="1">
        <v>301</v>
      </c>
      <c r="M63" s="1">
        <v>14800</v>
      </c>
      <c r="N63" s="3">
        <f t="shared" si="0"/>
        <v>18</v>
      </c>
      <c r="O63" s="3">
        <f t="shared" si="1"/>
        <v>3</v>
      </c>
      <c r="P63" s="3" t="str">
        <f t="shared" si="2"/>
        <v>Yes</v>
      </c>
      <c r="Q63" s="3">
        <f t="shared" si="3"/>
        <v>3</v>
      </c>
      <c r="R63" s="3">
        <f t="shared" si="4"/>
        <v>96320</v>
      </c>
      <c r="S63" s="3">
        <f t="shared" si="11"/>
        <v>0</v>
      </c>
      <c r="T63" s="3">
        <f t="shared" si="6"/>
        <v>2</v>
      </c>
      <c r="U63" s="3">
        <f t="shared" si="7"/>
        <v>44400</v>
      </c>
      <c r="V63" s="1">
        <f t="shared" si="12"/>
        <v>3</v>
      </c>
      <c r="W63" s="1">
        <f t="shared" si="13"/>
        <v>0.8125</v>
      </c>
      <c r="X63" s="1">
        <f t="shared" si="14"/>
        <v>2097325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63"/>
  <sheetViews>
    <sheetView workbookViewId="0">
      <selection activeCell="D13" sqref="D13"/>
    </sheetView>
  </sheetViews>
  <sheetFormatPr defaultColWidth="12.5703125" defaultRowHeight="15.75" customHeight="1" x14ac:dyDescent="0.2"/>
  <cols>
    <col min="1" max="1" width="13.85546875" bestFit="1" customWidth="1"/>
    <col min="2" max="2" width="9.7109375" bestFit="1" customWidth="1"/>
    <col min="3" max="3" width="17.28515625" bestFit="1" customWidth="1"/>
    <col min="4" max="4" width="25.7109375" bestFit="1" customWidth="1"/>
    <col min="5" max="5" width="22.85546875" bestFit="1" customWidth="1"/>
    <col min="6" max="6" width="15.85546875" bestFit="1" customWidth="1"/>
    <col min="7" max="7" width="17.140625" bestFit="1" customWidth="1"/>
    <col min="8" max="8" width="23.42578125" bestFit="1" customWidth="1"/>
    <col min="9" max="9" width="18" bestFit="1" customWidth="1"/>
    <col min="10" max="10" width="24.85546875" bestFit="1" customWidth="1"/>
    <col min="11" max="11" width="24" bestFit="1" customWidth="1"/>
    <col min="12" max="12" width="11.7109375" bestFit="1" customWidth="1"/>
    <col min="13" max="13" width="25.5703125" bestFit="1" customWidth="1"/>
    <col min="14" max="14" width="20.42578125" bestFit="1" customWidth="1"/>
    <col min="15" max="15" width="22.85546875" bestFit="1" customWidth="1"/>
    <col min="16" max="16" width="13.140625" bestFit="1" customWidth="1"/>
    <col min="17" max="17" width="13.7109375" bestFit="1" customWidth="1"/>
    <col min="18" max="18" width="20.5703125" bestFit="1" customWidth="1"/>
    <col min="19" max="19" width="28" bestFit="1" customWidth="1"/>
    <col min="20" max="20" width="19.7109375" bestFit="1" customWidth="1"/>
    <col min="21" max="21" width="28.57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1" t="s">
        <v>22</v>
      </c>
      <c r="C2" s="2">
        <v>44931</v>
      </c>
      <c r="D2" s="2">
        <v>44951</v>
      </c>
      <c r="E2" s="2">
        <v>44956</v>
      </c>
      <c r="F2" s="1" t="s">
        <v>23</v>
      </c>
      <c r="G2" s="1">
        <v>1200</v>
      </c>
      <c r="H2" s="1">
        <v>20</v>
      </c>
      <c r="I2" s="1" t="s">
        <v>24</v>
      </c>
      <c r="J2" s="1" t="s">
        <v>25</v>
      </c>
      <c r="K2" s="1" t="s">
        <v>26</v>
      </c>
      <c r="L2" s="1">
        <v>45</v>
      </c>
      <c r="M2" s="1">
        <v>9500</v>
      </c>
      <c r="N2" s="3">
        <f t="shared" ref="N2:N63" si="0">DATEDIF(C2, E2, "D")</f>
        <v>25</v>
      </c>
      <c r="O2" s="3">
        <f t="shared" ref="O2:O63" si="1">N2-H2</f>
        <v>5</v>
      </c>
      <c r="P2" s="3" t="str">
        <f t="shared" ref="P2:P63" si="2">IF(E2&gt;D2, "Yes", "No")</f>
        <v>Yes</v>
      </c>
      <c r="Q2" s="3">
        <f t="shared" ref="Q2:Q63" si="3">IF(P2="Yes", DATEDIF(D2, E2, "D"), 0)</f>
        <v>5</v>
      </c>
      <c r="R2" s="3">
        <f t="shared" ref="R2:R63" si="4">G2*L2</f>
        <v>54000</v>
      </c>
      <c r="S2" s="3">
        <f t="shared" ref="S2:S63" si="5">COUNTIFS(A:A, A2,P:P, "No")/COUNTIF(A:A, A2)</f>
        <v>0</v>
      </c>
      <c r="T2" s="3">
        <f t="shared" ref="T2:T63" si="6">IF(Q2=0, 0, (IF(K2="Yes", 0.5, 0) + IF(J2="Yes", 3, 0) + MIN(Q2/2, 5)))</f>
        <v>3</v>
      </c>
      <c r="U2" s="3">
        <f t="shared" ref="U2:U63" si="7">IF(P2="No", 0, (Q2*M2*IF(K2="Yes", 1, 0.5)))</f>
        <v>47500</v>
      </c>
    </row>
    <row r="3" spans="1:21" x14ac:dyDescent="0.2">
      <c r="A3" s="1" t="s">
        <v>27</v>
      </c>
      <c r="B3" s="1" t="s">
        <v>28</v>
      </c>
      <c r="C3" s="2">
        <v>44933</v>
      </c>
      <c r="D3" s="2">
        <v>44943</v>
      </c>
      <c r="E3" s="2">
        <v>44942</v>
      </c>
      <c r="F3" s="1" t="s">
        <v>29</v>
      </c>
      <c r="G3" s="1">
        <v>800</v>
      </c>
      <c r="H3" s="1">
        <v>10</v>
      </c>
      <c r="I3" s="1" t="s">
        <v>30</v>
      </c>
      <c r="J3" s="1" t="s">
        <v>25</v>
      </c>
      <c r="K3" s="1" t="s">
        <v>25</v>
      </c>
      <c r="L3" s="1">
        <v>120</v>
      </c>
      <c r="M3" s="1">
        <v>3600</v>
      </c>
      <c r="N3" s="3">
        <f t="shared" si="0"/>
        <v>9</v>
      </c>
      <c r="O3" s="3">
        <f t="shared" si="1"/>
        <v>-1</v>
      </c>
      <c r="P3" s="3" t="str">
        <f t="shared" si="2"/>
        <v>No</v>
      </c>
      <c r="Q3" s="3">
        <f t="shared" si="3"/>
        <v>0</v>
      </c>
      <c r="R3" s="3">
        <f t="shared" si="4"/>
        <v>96000</v>
      </c>
      <c r="S3" s="3">
        <f t="shared" si="5"/>
        <v>1</v>
      </c>
      <c r="T3" s="3">
        <f t="shared" si="6"/>
        <v>0</v>
      </c>
      <c r="U3" s="3">
        <f t="shared" si="7"/>
        <v>0</v>
      </c>
    </row>
    <row r="4" spans="1:21" x14ac:dyDescent="0.2">
      <c r="A4" s="1" t="s">
        <v>31</v>
      </c>
      <c r="B4" s="1" t="s">
        <v>32</v>
      </c>
      <c r="C4" s="2">
        <v>44936</v>
      </c>
      <c r="D4" s="2">
        <v>44948</v>
      </c>
      <c r="E4" s="2">
        <v>44955</v>
      </c>
      <c r="F4" s="1" t="s">
        <v>33</v>
      </c>
      <c r="G4" s="1">
        <v>350</v>
      </c>
      <c r="H4" s="1">
        <v>12</v>
      </c>
      <c r="I4" s="1" t="s">
        <v>34</v>
      </c>
      <c r="J4" s="1" t="s">
        <v>25</v>
      </c>
      <c r="K4" s="1" t="s">
        <v>26</v>
      </c>
      <c r="L4" s="1">
        <v>85</v>
      </c>
      <c r="M4" s="1">
        <v>8200</v>
      </c>
      <c r="N4" s="3">
        <f t="shared" si="0"/>
        <v>19</v>
      </c>
      <c r="O4" s="3">
        <f t="shared" si="1"/>
        <v>7</v>
      </c>
      <c r="P4" s="3" t="str">
        <f t="shared" si="2"/>
        <v>Yes</v>
      </c>
      <c r="Q4" s="3">
        <f t="shared" si="3"/>
        <v>7</v>
      </c>
      <c r="R4" s="3">
        <f t="shared" si="4"/>
        <v>29750</v>
      </c>
      <c r="S4" s="3">
        <f t="shared" si="5"/>
        <v>0</v>
      </c>
      <c r="T4" s="3">
        <f t="shared" si="6"/>
        <v>4</v>
      </c>
      <c r="U4" s="3">
        <f t="shared" si="7"/>
        <v>57400</v>
      </c>
    </row>
    <row r="5" spans="1:21" x14ac:dyDescent="0.2">
      <c r="A5" s="1" t="s">
        <v>35</v>
      </c>
      <c r="B5" s="1" t="s">
        <v>22</v>
      </c>
      <c r="C5" s="2">
        <v>44938</v>
      </c>
      <c r="D5" s="2">
        <v>44958</v>
      </c>
      <c r="E5" s="2">
        <v>44972</v>
      </c>
      <c r="F5" s="1" t="s">
        <v>36</v>
      </c>
      <c r="G5" s="1">
        <v>650</v>
      </c>
      <c r="H5" s="1">
        <v>20</v>
      </c>
      <c r="I5" s="1" t="s">
        <v>24</v>
      </c>
      <c r="J5" s="1" t="s">
        <v>26</v>
      </c>
      <c r="K5" s="1" t="s">
        <v>26</v>
      </c>
      <c r="L5" s="1">
        <v>220</v>
      </c>
      <c r="M5" s="1">
        <v>12000</v>
      </c>
      <c r="N5" s="3">
        <f t="shared" si="0"/>
        <v>34</v>
      </c>
      <c r="O5" s="3">
        <f t="shared" si="1"/>
        <v>14</v>
      </c>
      <c r="P5" s="3" t="str">
        <f t="shared" si="2"/>
        <v>Yes</v>
      </c>
      <c r="Q5" s="3">
        <f t="shared" si="3"/>
        <v>14</v>
      </c>
      <c r="R5" s="3">
        <f t="shared" si="4"/>
        <v>143000</v>
      </c>
      <c r="S5" s="3">
        <f t="shared" si="5"/>
        <v>0</v>
      </c>
      <c r="T5" s="3">
        <f t="shared" si="6"/>
        <v>8.5</v>
      </c>
      <c r="U5" s="3">
        <f t="shared" si="7"/>
        <v>168000</v>
      </c>
    </row>
    <row r="6" spans="1:21" x14ac:dyDescent="0.2">
      <c r="A6" s="1" t="s">
        <v>37</v>
      </c>
      <c r="B6" s="1" t="s">
        <v>28</v>
      </c>
      <c r="C6" s="2">
        <v>44941</v>
      </c>
      <c r="D6" s="2">
        <v>44951</v>
      </c>
      <c r="E6" s="2">
        <v>44953</v>
      </c>
      <c r="F6" s="1" t="s">
        <v>38</v>
      </c>
      <c r="G6" s="1">
        <v>1500</v>
      </c>
      <c r="H6" s="1">
        <v>10</v>
      </c>
      <c r="I6" s="1" t="s">
        <v>34</v>
      </c>
      <c r="J6" s="1" t="s">
        <v>25</v>
      </c>
      <c r="K6" s="1" t="s">
        <v>25</v>
      </c>
      <c r="L6" s="1">
        <v>18</v>
      </c>
      <c r="M6" s="1">
        <v>2500</v>
      </c>
      <c r="N6" s="3">
        <f t="shared" si="0"/>
        <v>12</v>
      </c>
      <c r="O6" s="3">
        <f t="shared" si="1"/>
        <v>2</v>
      </c>
      <c r="P6" s="3" t="str">
        <f t="shared" si="2"/>
        <v>Yes</v>
      </c>
      <c r="Q6" s="3">
        <f t="shared" si="3"/>
        <v>2</v>
      </c>
      <c r="R6" s="3">
        <f t="shared" si="4"/>
        <v>27000</v>
      </c>
      <c r="S6" s="3">
        <f t="shared" si="5"/>
        <v>0</v>
      </c>
      <c r="T6" s="3">
        <f t="shared" si="6"/>
        <v>1</v>
      </c>
      <c r="U6" s="3">
        <f t="shared" si="7"/>
        <v>2500</v>
      </c>
    </row>
    <row r="7" spans="1:21" x14ac:dyDescent="0.2">
      <c r="A7" s="1" t="s">
        <v>39</v>
      </c>
      <c r="B7" s="1" t="s">
        <v>28</v>
      </c>
      <c r="C7" s="2">
        <v>44944</v>
      </c>
      <c r="D7" s="2">
        <v>44954</v>
      </c>
      <c r="E7" s="2">
        <v>44957</v>
      </c>
      <c r="F7" s="1" t="s">
        <v>23</v>
      </c>
      <c r="G7" s="1">
        <v>950</v>
      </c>
      <c r="H7" s="1">
        <v>10</v>
      </c>
      <c r="I7" s="1" t="s">
        <v>34</v>
      </c>
      <c r="J7" s="1" t="s">
        <v>25</v>
      </c>
      <c r="K7" s="1" t="s">
        <v>26</v>
      </c>
      <c r="L7" s="1">
        <v>52</v>
      </c>
      <c r="M7" s="1">
        <v>9000</v>
      </c>
      <c r="N7" s="3">
        <f t="shared" si="0"/>
        <v>13</v>
      </c>
      <c r="O7" s="3">
        <f t="shared" si="1"/>
        <v>3</v>
      </c>
      <c r="P7" s="3" t="str">
        <f t="shared" si="2"/>
        <v>Yes</v>
      </c>
      <c r="Q7" s="3">
        <f t="shared" si="3"/>
        <v>3</v>
      </c>
      <c r="R7" s="3">
        <f t="shared" si="4"/>
        <v>49400</v>
      </c>
      <c r="S7" s="3">
        <f t="shared" si="5"/>
        <v>0</v>
      </c>
      <c r="T7" s="3">
        <f t="shared" si="6"/>
        <v>2</v>
      </c>
      <c r="U7" s="3">
        <f t="shared" si="7"/>
        <v>27000</v>
      </c>
    </row>
    <row r="8" spans="1:21" x14ac:dyDescent="0.2">
      <c r="A8" s="1" t="s">
        <v>40</v>
      </c>
      <c r="B8" s="1" t="s">
        <v>22</v>
      </c>
      <c r="C8" s="2">
        <v>44946</v>
      </c>
      <c r="D8" s="2">
        <v>44966</v>
      </c>
      <c r="E8" s="2">
        <v>44978</v>
      </c>
      <c r="F8" s="1" t="s">
        <v>41</v>
      </c>
      <c r="G8" s="1">
        <v>400</v>
      </c>
      <c r="H8" s="1">
        <v>20</v>
      </c>
      <c r="I8" s="1" t="s">
        <v>24</v>
      </c>
      <c r="J8" s="1" t="s">
        <v>26</v>
      </c>
      <c r="K8" s="1" t="s">
        <v>26</v>
      </c>
      <c r="L8" s="1">
        <v>310</v>
      </c>
      <c r="M8" s="1">
        <v>15000</v>
      </c>
      <c r="N8" s="3">
        <f t="shared" si="0"/>
        <v>32</v>
      </c>
      <c r="O8" s="3">
        <f t="shared" si="1"/>
        <v>12</v>
      </c>
      <c r="P8" s="3" t="str">
        <f t="shared" si="2"/>
        <v>Yes</v>
      </c>
      <c r="Q8" s="3">
        <f t="shared" si="3"/>
        <v>12</v>
      </c>
      <c r="R8" s="3">
        <f t="shared" si="4"/>
        <v>124000</v>
      </c>
      <c r="S8" s="3">
        <f t="shared" si="5"/>
        <v>0</v>
      </c>
      <c r="T8" s="3">
        <f t="shared" si="6"/>
        <v>8.5</v>
      </c>
      <c r="U8" s="3">
        <f t="shared" si="7"/>
        <v>180000</v>
      </c>
    </row>
    <row r="9" spans="1:21" x14ac:dyDescent="0.2">
      <c r="A9" s="1" t="s">
        <v>21</v>
      </c>
      <c r="B9" s="1" t="s">
        <v>22</v>
      </c>
      <c r="C9" s="2">
        <v>44948</v>
      </c>
      <c r="D9" s="2">
        <v>44968</v>
      </c>
      <c r="E9" s="2">
        <v>44971</v>
      </c>
      <c r="F9" s="1" t="s">
        <v>42</v>
      </c>
      <c r="G9" s="1">
        <v>1100</v>
      </c>
      <c r="H9" s="1">
        <v>20</v>
      </c>
      <c r="I9" s="1" t="s">
        <v>24</v>
      </c>
      <c r="J9" s="1" t="s">
        <v>25</v>
      </c>
      <c r="K9" s="1" t="s">
        <v>25</v>
      </c>
      <c r="L9" s="1">
        <v>65</v>
      </c>
      <c r="M9" s="1">
        <v>4200</v>
      </c>
      <c r="N9" s="3">
        <f t="shared" si="0"/>
        <v>23</v>
      </c>
      <c r="O9" s="3">
        <f t="shared" si="1"/>
        <v>3</v>
      </c>
      <c r="P9" s="3" t="str">
        <f t="shared" si="2"/>
        <v>Yes</v>
      </c>
      <c r="Q9" s="3">
        <f t="shared" si="3"/>
        <v>3</v>
      </c>
      <c r="R9" s="3">
        <f t="shared" si="4"/>
        <v>71500</v>
      </c>
      <c r="S9" s="3">
        <f t="shared" si="5"/>
        <v>0</v>
      </c>
      <c r="T9" s="3">
        <f t="shared" si="6"/>
        <v>1.5</v>
      </c>
      <c r="U9" s="3">
        <f t="shared" si="7"/>
        <v>6300</v>
      </c>
    </row>
    <row r="10" spans="1:21" x14ac:dyDescent="0.2">
      <c r="A10" s="1" t="s">
        <v>43</v>
      </c>
      <c r="B10" s="1" t="s">
        <v>32</v>
      </c>
      <c r="C10" s="2">
        <v>44951</v>
      </c>
      <c r="D10" s="2">
        <v>44961</v>
      </c>
      <c r="E10" s="2">
        <v>44961</v>
      </c>
      <c r="F10" s="1" t="s">
        <v>29</v>
      </c>
      <c r="G10" s="1">
        <v>750</v>
      </c>
      <c r="H10" s="1">
        <v>10</v>
      </c>
      <c r="I10" s="1" t="s">
        <v>30</v>
      </c>
      <c r="J10" s="1" t="s">
        <v>25</v>
      </c>
      <c r="K10" s="1" t="s">
        <v>25</v>
      </c>
      <c r="L10" s="1">
        <v>115</v>
      </c>
      <c r="M10" s="1">
        <v>3400</v>
      </c>
      <c r="N10" s="3">
        <f t="shared" si="0"/>
        <v>10</v>
      </c>
      <c r="O10" s="3">
        <f t="shared" si="1"/>
        <v>0</v>
      </c>
      <c r="P10" s="3" t="str">
        <f t="shared" si="2"/>
        <v>No</v>
      </c>
      <c r="Q10" s="3">
        <f t="shared" si="3"/>
        <v>0</v>
      </c>
      <c r="R10" s="3">
        <f t="shared" si="4"/>
        <v>86250</v>
      </c>
      <c r="S10" s="3">
        <f t="shared" si="5"/>
        <v>1</v>
      </c>
      <c r="T10" s="3">
        <f t="shared" si="6"/>
        <v>0</v>
      </c>
      <c r="U10" s="3">
        <f t="shared" si="7"/>
        <v>0</v>
      </c>
    </row>
    <row r="11" spans="1:21" x14ac:dyDescent="0.2">
      <c r="A11" s="1" t="s">
        <v>44</v>
      </c>
      <c r="B11" s="1" t="s">
        <v>22</v>
      </c>
      <c r="C11" s="2">
        <v>44954</v>
      </c>
      <c r="D11" s="2">
        <v>44974</v>
      </c>
      <c r="E11" s="2">
        <v>44986</v>
      </c>
      <c r="F11" s="1" t="s">
        <v>33</v>
      </c>
      <c r="G11" s="1">
        <v>500</v>
      </c>
      <c r="H11" s="1">
        <v>20</v>
      </c>
      <c r="I11" s="1" t="s">
        <v>24</v>
      </c>
      <c r="J11" s="1" t="s">
        <v>26</v>
      </c>
      <c r="K11" s="1" t="s">
        <v>26</v>
      </c>
      <c r="L11" s="1">
        <v>90</v>
      </c>
      <c r="M11" s="1">
        <v>8500</v>
      </c>
      <c r="N11" s="3">
        <f t="shared" si="0"/>
        <v>32</v>
      </c>
      <c r="O11" s="3">
        <f t="shared" si="1"/>
        <v>12</v>
      </c>
      <c r="P11" s="3" t="str">
        <f t="shared" si="2"/>
        <v>Yes</v>
      </c>
      <c r="Q11" s="3">
        <f t="shared" si="3"/>
        <v>12</v>
      </c>
      <c r="R11" s="3">
        <f t="shared" si="4"/>
        <v>45000</v>
      </c>
      <c r="S11" s="3">
        <f t="shared" si="5"/>
        <v>0</v>
      </c>
      <c r="T11" s="3">
        <f t="shared" si="6"/>
        <v>8.5</v>
      </c>
      <c r="U11" s="3">
        <f t="shared" si="7"/>
        <v>102000</v>
      </c>
    </row>
    <row r="12" spans="1:21" x14ac:dyDescent="0.2">
      <c r="A12" s="1" t="s">
        <v>45</v>
      </c>
      <c r="B12" s="1" t="s">
        <v>28</v>
      </c>
      <c r="C12" s="2">
        <v>44958</v>
      </c>
      <c r="D12" s="2">
        <v>44968</v>
      </c>
      <c r="E12" s="2">
        <v>44972</v>
      </c>
      <c r="F12" s="1" t="s">
        <v>23</v>
      </c>
      <c r="G12" s="1">
        <v>2000</v>
      </c>
      <c r="H12" s="1">
        <v>10</v>
      </c>
      <c r="I12" s="1" t="s">
        <v>34</v>
      </c>
      <c r="J12" s="1" t="s">
        <v>25</v>
      </c>
      <c r="K12" s="1" t="s">
        <v>26</v>
      </c>
      <c r="L12" s="1">
        <v>48</v>
      </c>
      <c r="M12" s="1">
        <v>9200</v>
      </c>
      <c r="N12" s="3">
        <f t="shared" si="0"/>
        <v>14</v>
      </c>
      <c r="O12" s="3">
        <f t="shared" si="1"/>
        <v>4</v>
      </c>
      <c r="P12" s="3" t="str">
        <f t="shared" si="2"/>
        <v>Yes</v>
      </c>
      <c r="Q12" s="3">
        <f t="shared" si="3"/>
        <v>4</v>
      </c>
      <c r="R12" s="3">
        <f t="shared" si="4"/>
        <v>96000</v>
      </c>
      <c r="S12" s="3">
        <f t="shared" si="5"/>
        <v>0</v>
      </c>
      <c r="T12" s="3">
        <f t="shared" si="6"/>
        <v>2.5</v>
      </c>
      <c r="U12" s="3">
        <f t="shared" si="7"/>
        <v>36800</v>
      </c>
    </row>
    <row r="13" spans="1:21" x14ac:dyDescent="0.2">
      <c r="A13" s="1" t="s">
        <v>46</v>
      </c>
      <c r="B13" s="1" t="s">
        <v>32</v>
      </c>
      <c r="C13" s="2">
        <v>44960</v>
      </c>
      <c r="D13" s="2">
        <v>44975</v>
      </c>
      <c r="E13" s="2">
        <v>44976</v>
      </c>
      <c r="F13" s="1" t="s">
        <v>41</v>
      </c>
      <c r="G13" s="1">
        <v>300</v>
      </c>
      <c r="H13" s="1">
        <v>15</v>
      </c>
      <c r="I13" s="1" t="s">
        <v>34</v>
      </c>
      <c r="J13" s="1" t="s">
        <v>25</v>
      </c>
      <c r="K13" s="1" t="s">
        <v>26</v>
      </c>
      <c r="L13" s="1">
        <v>295</v>
      </c>
      <c r="M13" s="1">
        <v>14500</v>
      </c>
      <c r="N13" s="3">
        <f t="shared" si="0"/>
        <v>16</v>
      </c>
      <c r="O13" s="3">
        <f t="shared" si="1"/>
        <v>1</v>
      </c>
      <c r="P13" s="3" t="str">
        <f t="shared" si="2"/>
        <v>Yes</v>
      </c>
      <c r="Q13" s="3">
        <f t="shared" si="3"/>
        <v>1</v>
      </c>
      <c r="R13" s="3">
        <f t="shared" si="4"/>
        <v>88500</v>
      </c>
      <c r="S13" s="3">
        <f t="shared" si="5"/>
        <v>0</v>
      </c>
      <c r="T13" s="3">
        <f t="shared" si="6"/>
        <v>1</v>
      </c>
      <c r="U13" s="3">
        <f t="shared" si="7"/>
        <v>14500</v>
      </c>
    </row>
    <row r="14" spans="1:21" x14ac:dyDescent="0.2">
      <c r="A14" s="1" t="s">
        <v>35</v>
      </c>
      <c r="B14" s="1" t="s">
        <v>22</v>
      </c>
      <c r="C14" s="2">
        <v>44962</v>
      </c>
      <c r="D14" s="2">
        <v>44982</v>
      </c>
      <c r="E14" s="2">
        <v>44995</v>
      </c>
      <c r="F14" s="1" t="s">
        <v>36</v>
      </c>
      <c r="G14" s="1">
        <v>700</v>
      </c>
      <c r="H14" s="1">
        <v>20</v>
      </c>
      <c r="I14" s="1" t="s">
        <v>24</v>
      </c>
      <c r="J14" s="1" t="s">
        <v>26</v>
      </c>
      <c r="K14" s="1" t="s">
        <v>26</v>
      </c>
      <c r="L14" s="1">
        <v>220</v>
      </c>
      <c r="M14" s="1">
        <v>12000</v>
      </c>
      <c r="N14" s="3">
        <f t="shared" si="0"/>
        <v>33</v>
      </c>
      <c r="O14" s="3">
        <f t="shared" si="1"/>
        <v>13</v>
      </c>
      <c r="P14" s="3" t="str">
        <f t="shared" si="2"/>
        <v>Yes</v>
      </c>
      <c r="Q14" s="3">
        <f t="shared" si="3"/>
        <v>13</v>
      </c>
      <c r="R14" s="3">
        <f t="shared" si="4"/>
        <v>154000</v>
      </c>
      <c r="S14" s="3">
        <f t="shared" si="5"/>
        <v>0</v>
      </c>
      <c r="T14" s="3">
        <f t="shared" si="6"/>
        <v>8.5</v>
      </c>
      <c r="U14" s="3">
        <f t="shared" si="7"/>
        <v>156000</v>
      </c>
    </row>
    <row r="15" spans="1:21" x14ac:dyDescent="0.2">
      <c r="A15" s="1" t="s">
        <v>47</v>
      </c>
      <c r="B15" s="1" t="s">
        <v>28</v>
      </c>
      <c r="C15" s="2">
        <v>44965</v>
      </c>
      <c r="D15" s="2">
        <v>44980</v>
      </c>
      <c r="E15" s="2">
        <v>44979</v>
      </c>
      <c r="F15" s="1" t="s">
        <v>38</v>
      </c>
      <c r="G15" s="1">
        <v>1200</v>
      </c>
      <c r="H15" s="1">
        <v>15</v>
      </c>
      <c r="I15" s="1" t="s">
        <v>30</v>
      </c>
      <c r="J15" s="1" t="s">
        <v>25</v>
      </c>
      <c r="K15" s="1" t="s">
        <v>25</v>
      </c>
      <c r="L15" s="1">
        <v>20</v>
      </c>
      <c r="M15" s="1">
        <v>2800</v>
      </c>
      <c r="N15" s="3">
        <f t="shared" si="0"/>
        <v>14</v>
      </c>
      <c r="O15" s="3">
        <f t="shared" si="1"/>
        <v>-1</v>
      </c>
      <c r="P15" s="3" t="str">
        <f t="shared" si="2"/>
        <v>No</v>
      </c>
      <c r="Q15" s="3">
        <f t="shared" si="3"/>
        <v>0</v>
      </c>
      <c r="R15" s="3">
        <f t="shared" si="4"/>
        <v>24000</v>
      </c>
      <c r="S15" s="3">
        <f t="shared" si="5"/>
        <v>1</v>
      </c>
      <c r="T15" s="3">
        <f t="shared" si="6"/>
        <v>0</v>
      </c>
      <c r="U15" s="3">
        <f t="shared" si="7"/>
        <v>0</v>
      </c>
    </row>
    <row r="16" spans="1:21" x14ac:dyDescent="0.2">
      <c r="A16" s="1" t="s">
        <v>48</v>
      </c>
      <c r="B16" s="1" t="s">
        <v>32</v>
      </c>
      <c r="C16" s="2">
        <v>44967</v>
      </c>
      <c r="D16" s="2">
        <v>44982</v>
      </c>
      <c r="E16" s="2">
        <v>44985</v>
      </c>
      <c r="F16" s="1" t="s">
        <v>29</v>
      </c>
      <c r="G16" s="1">
        <v>900</v>
      </c>
      <c r="H16" s="1">
        <v>15</v>
      </c>
      <c r="I16" s="1" t="s">
        <v>34</v>
      </c>
      <c r="J16" s="1" t="s">
        <v>25</v>
      </c>
      <c r="K16" s="1" t="s">
        <v>25</v>
      </c>
      <c r="L16" s="1">
        <v>118</v>
      </c>
      <c r="M16" s="1">
        <v>3500</v>
      </c>
      <c r="N16" s="3">
        <f t="shared" si="0"/>
        <v>18</v>
      </c>
      <c r="O16" s="3">
        <f t="shared" si="1"/>
        <v>3</v>
      </c>
      <c r="P16" s="3" t="str">
        <f t="shared" si="2"/>
        <v>Yes</v>
      </c>
      <c r="Q16" s="3">
        <f t="shared" si="3"/>
        <v>3</v>
      </c>
      <c r="R16" s="3">
        <f t="shared" si="4"/>
        <v>106200</v>
      </c>
      <c r="S16" s="3">
        <f t="shared" si="5"/>
        <v>0</v>
      </c>
      <c r="T16" s="3">
        <f t="shared" si="6"/>
        <v>1.5</v>
      </c>
      <c r="U16" s="3">
        <f t="shared" si="7"/>
        <v>5250</v>
      </c>
    </row>
    <row r="17" spans="1:21" x14ac:dyDescent="0.2">
      <c r="A17" s="1" t="s">
        <v>49</v>
      </c>
      <c r="B17" s="1" t="s">
        <v>22</v>
      </c>
      <c r="C17" s="2">
        <v>44969</v>
      </c>
      <c r="D17" s="2">
        <v>44989</v>
      </c>
      <c r="E17" s="2">
        <v>44990</v>
      </c>
      <c r="F17" s="1" t="s">
        <v>42</v>
      </c>
      <c r="G17" s="1">
        <v>600</v>
      </c>
      <c r="H17" s="1">
        <v>20</v>
      </c>
      <c r="I17" s="1" t="s">
        <v>24</v>
      </c>
      <c r="J17" s="1" t="s">
        <v>25</v>
      </c>
      <c r="K17" s="1" t="s">
        <v>25</v>
      </c>
      <c r="L17" s="1">
        <v>70</v>
      </c>
      <c r="M17" s="1">
        <v>4500</v>
      </c>
      <c r="N17" s="3">
        <f t="shared" si="0"/>
        <v>21</v>
      </c>
      <c r="O17" s="3">
        <f t="shared" si="1"/>
        <v>1</v>
      </c>
      <c r="P17" s="3" t="str">
        <f t="shared" si="2"/>
        <v>Yes</v>
      </c>
      <c r="Q17" s="3">
        <f t="shared" si="3"/>
        <v>1</v>
      </c>
      <c r="R17" s="3">
        <f t="shared" si="4"/>
        <v>42000</v>
      </c>
      <c r="S17" s="3">
        <f t="shared" si="5"/>
        <v>0</v>
      </c>
      <c r="T17" s="3">
        <f t="shared" si="6"/>
        <v>0.5</v>
      </c>
      <c r="U17" s="3">
        <f t="shared" si="7"/>
        <v>2250</v>
      </c>
    </row>
    <row r="18" spans="1:21" x14ac:dyDescent="0.2">
      <c r="A18" s="1" t="s">
        <v>27</v>
      </c>
      <c r="B18" s="1" t="s">
        <v>28</v>
      </c>
      <c r="C18" s="2">
        <v>44972</v>
      </c>
      <c r="D18" s="2">
        <v>44982</v>
      </c>
      <c r="E18" s="2">
        <v>44981</v>
      </c>
      <c r="F18" s="1" t="s">
        <v>29</v>
      </c>
      <c r="G18" s="1">
        <v>850</v>
      </c>
      <c r="H18" s="1">
        <v>10</v>
      </c>
      <c r="I18" s="1" t="s">
        <v>30</v>
      </c>
      <c r="J18" s="1" t="s">
        <v>25</v>
      </c>
      <c r="K18" s="1" t="s">
        <v>25</v>
      </c>
      <c r="L18" s="1">
        <v>120</v>
      </c>
      <c r="M18" s="1">
        <v>3600</v>
      </c>
      <c r="N18" s="3">
        <f t="shared" si="0"/>
        <v>9</v>
      </c>
      <c r="O18" s="3">
        <f t="shared" si="1"/>
        <v>-1</v>
      </c>
      <c r="P18" s="3" t="str">
        <f t="shared" si="2"/>
        <v>No</v>
      </c>
      <c r="Q18" s="3">
        <f t="shared" si="3"/>
        <v>0</v>
      </c>
      <c r="R18" s="3">
        <f t="shared" si="4"/>
        <v>102000</v>
      </c>
      <c r="S18" s="3">
        <f t="shared" si="5"/>
        <v>1</v>
      </c>
      <c r="T18" s="3">
        <f t="shared" si="6"/>
        <v>0</v>
      </c>
      <c r="U18" s="3">
        <f t="shared" si="7"/>
        <v>0</v>
      </c>
    </row>
    <row r="19" spans="1:21" x14ac:dyDescent="0.2">
      <c r="A19" s="1" t="s">
        <v>50</v>
      </c>
      <c r="B19" s="1" t="s">
        <v>32</v>
      </c>
      <c r="C19" s="2">
        <v>44975</v>
      </c>
      <c r="D19" s="2">
        <v>44990</v>
      </c>
      <c r="E19" s="2">
        <v>44997</v>
      </c>
      <c r="F19" s="1" t="s">
        <v>33</v>
      </c>
      <c r="G19" s="1">
        <v>450</v>
      </c>
      <c r="H19" s="1">
        <v>15</v>
      </c>
      <c r="I19" s="1" t="s">
        <v>34</v>
      </c>
      <c r="J19" s="1" t="s">
        <v>25</v>
      </c>
      <c r="K19" s="1" t="s">
        <v>26</v>
      </c>
      <c r="L19" s="1">
        <v>88</v>
      </c>
      <c r="M19" s="1">
        <v>8300</v>
      </c>
      <c r="N19" s="3">
        <f t="shared" si="0"/>
        <v>22</v>
      </c>
      <c r="O19" s="3">
        <f t="shared" si="1"/>
        <v>7</v>
      </c>
      <c r="P19" s="3" t="str">
        <f t="shared" si="2"/>
        <v>Yes</v>
      </c>
      <c r="Q19" s="3">
        <f t="shared" si="3"/>
        <v>7</v>
      </c>
      <c r="R19" s="3">
        <f t="shared" si="4"/>
        <v>39600</v>
      </c>
      <c r="S19" s="3">
        <f t="shared" si="5"/>
        <v>0</v>
      </c>
      <c r="T19" s="3">
        <f t="shared" si="6"/>
        <v>4</v>
      </c>
      <c r="U19" s="3">
        <f t="shared" si="7"/>
        <v>58100</v>
      </c>
    </row>
    <row r="20" spans="1:21" x14ac:dyDescent="0.2">
      <c r="A20" s="1" t="s">
        <v>21</v>
      </c>
      <c r="B20" s="1" t="s">
        <v>22</v>
      </c>
      <c r="C20" s="2">
        <v>44977</v>
      </c>
      <c r="D20" s="2">
        <v>44997</v>
      </c>
      <c r="E20" s="2">
        <v>45005</v>
      </c>
      <c r="F20" s="1" t="s">
        <v>23</v>
      </c>
      <c r="G20" s="1">
        <v>1300</v>
      </c>
      <c r="H20" s="1">
        <v>20</v>
      </c>
      <c r="I20" s="1" t="s">
        <v>24</v>
      </c>
      <c r="J20" s="1" t="s">
        <v>25</v>
      </c>
      <c r="K20" s="1" t="s">
        <v>26</v>
      </c>
      <c r="L20" s="1">
        <v>45</v>
      </c>
      <c r="M20" s="1">
        <v>9500</v>
      </c>
      <c r="N20" s="3">
        <f t="shared" si="0"/>
        <v>28</v>
      </c>
      <c r="O20" s="3">
        <f t="shared" si="1"/>
        <v>8</v>
      </c>
      <c r="P20" s="3" t="str">
        <f t="shared" si="2"/>
        <v>Yes</v>
      </c>
      <c r="Q20" s="3">
        <f t="shared" si="3"/>
        <v>8</v>
      </c>
      <c r="R20" s="3">
        <f t="shared" si="4"/>
        <v>58500</v>
      </c>
      <c r="S20" s="3">
        <f t="shared" si="5"/>
        <v>0</v>
      </c>
      <c r="T20" s="3">
        <f t="shared" si="6"/>
        <v>4.5</v>
      </c>
      <c r="U20" s="3">
        <f t="shared" si="7"/>
        <v>76000</v>
      </c>
    </row>
    <row r="21" spans="1:21" x14ac:dyDescent="0.2">
      <c r="A21" s="1" t="s">
        <v>51</v>
      </c>
      <c r="B21" s="1" t="s">
        <v>28</v>
      </c>
      <c r="C21" s="2">
        <v>44979</v>
      </c>
      <c r="D21" s="2">
        <v>44994</v>
      </c>
      <c r="E21" s="2">
        <v>44996</v>
      </c>
      <c r="F21" s="1" t="s">
        <v>41</v>
      </c>
      <c r="G21" s="1">
        <v>350</v>
      </c>
      <c r="H21" s="1">
        <v>15</v>
      </c>
      <c r="I21" s="1" t="s">
        <v>30</v>
      </c>
      <c r="J21" s="1" t="s">
        <v>25</v>
      </c>
      <c r="K21" s="1" t="s">
        <v>26</v>
      </c>
      <c r="L21" s="1">
        <v>300</v>
      </c>
      <c r="M21" s="1">
        <v>14800</v>
      </c>
      <c r="N21" s="3">
        <f t="shared" si="0"/>
        <v>17</v>
      </c>
      <c r="O21" s="3">
        <f t="shared" si="1"/>
        <v>2</v>
      </c>
      <c r="P21" s="3" t="str">
        <f t="shared" si="2"/>
        <v>Yes</v>
      </c>
      <c r="Q21" s="3">
        <f t="shared" si="3"/>
        <v>2</v>
      </c>
      <c r="R21" s="3">
        <f t="shared" si="4"/>
        <v>105000</v>
      </c>
      <c r="S21" s="3">
        <f t="shared" si="5"/>
        <v>0</v>
      </c>
      <c r="T21" s="3">
        <f t="shared" si="6"/>
        <v>1.5</v>
      </c>
      <c r="U21" s="3">
        <f t="shared" si="7"/>
        <v>29600</v>
      </c>
    </row>
    <row r="22" spans="1:21" x14ac:dyDescent="0.2">
      <c r="A22" s="1" t="s">
        <v>52</v>
      </c>
      <c r="B22" s="1" t="s">
        <v>22</v>
      </c>
      <c r="C22" s="2">
        <v>44982</v>
      </c>
      <c r="D22" s="2">
        <v>45002</v>
      </c>
      <c r="E22" s="2">
        <v>45017</v>
      </c>
      <c r="F22" s="1" t="s">
        <v>36</v>
      </c>
      <c r="G22" s="1">
        <v>550</v>
      </c>
      <c r="H22" s="1">
        <v>20</v>
      </c>
      <c r="I22" s="1" t="s">
        <v>24</v>
      </c>
      <c r="J22" s="1" t="s">
        <v>26</v>
      </c>
      <c r="K22" s="1" t="s">
        <v>26</v>
      </c>
      <c r="L22" s="1">
        <v>215</v>
      </c>
      <c r="M22" s="1">
        <v>11800</v>
      </c>
      <c r="N22" s="3">
        <f t="shared" si="0"/>
        <v>35</v>
      </c>
      <c r="O22" s="3">
        <f t="shared" si="1"/>
        <v>15</v>
      </c>
      <c r="P22" s="3" t="str">
        <f t="shared" si="2"/>
        <v>Yes</v>
      </c>
      <c r="Q22" s="3">
        <f t="shared" si="3"/>
        <v>15</v>
      </c>
      <c r="R22" s="3">
        <f t="shared" si="4"/>
        <v>118250</v>
      </c>
      <c r="S22" s="3">
        <f t="shared" si="5"/>
        <v>0</v>
      </c>
      <c r="T22" s="3">
        <f t="shared" si="6"/>
        <v>8.5</v>
      </c>
      <c r="U22" s="3">
        <f t="shared" si="7"/>
        <v>177000</v>
      </c>
    </row>
    <row r="23" spans="1:21" x14ac:dyDescent="0.2">
      <c r="A23" s="1" t="s">
        <v>53</v>
      </c>
      <c r="B23" s="1" t="s">
        <v>32</v>
      </c>
      <c r="C23" s="2">
        <v>44986</v>
      </c>
      <c r="D23" s="2">
        <v>44996</v>
      </c>
      <c r="E23" s="2">
        <v>44998</v>
      </c>
      <c r="F23" s="1" t="s">
        <v>38</v>
      </c>
      <c r="G23" s="1">
        <v>1800</v>
      </c>
      <c r="H23" s="1">
        <v>10</v>
      </c>
      <c r="I23" s="1" t="s">
        <v>34</v>
      </c>
      <c r="J23" s="1" t="s">
        <v>25</v>
      </c>
      <c r="K23" s="1" t="s">
        <v>25</v>
      </c>
      <c r="L23" s="1">
        <v>17</v>
      </c>
      <c r="M23" s="1">
        <v>2400</v>
      </c>
      <c r="N23" s="3">
        <f t="shared" si="0"/>
        <v>12</v>
      </c>
      <c r="O23" s="3">
        <f t="shared" si="1"/>
        <v>2</v>
      </c>
      <c r="P23" s="3" t="str">
        <f t="shared" si="2"/>
        <v>Yes</v>
      </c>
      <c r="Q23" s="3">
        <f t="shared" si="3"/>
        <v>2</v>
      </c>
      <c r="R23" s="3">
        <f t="shared" si="4"/>
        <v>30600</v>
      </c>
      <c r="S23" s="3">
        <f t="shared" si="5"/>
        <v>0</v>
      </c>
      <c r="T23" s="3">
        <f t="shared" si="6"/>
        <v>1</v>
      </c>
      <c r="U23" s="3">
        <f t="shared" si="7"/>
        <v>2400</v>
      </c>
    </row>
    <row r="24" spans="1:21" x14ac:dyDescent="0.2">
      <c r="A24" s="1" t="s">
        <v>54</v>
      </c>
      <c r="B24" s="1" t="s">
        <v>28</v>
      </c>
      <c r="C24" s="2">
        <v>44988</v>
      </c>
      <c r="D24" s="2">
        <v>44998</v>
      </c>
      <c r="E24" s="2">
        <v>45000</v>
      </c>
      <c r="F24" s="1" t="s">
        <v>29</v>
      </c>
      <c r="G24" s="1">
        <v>950</v>
      </c>
      <c r="H24" s="1">
        <v>10</v>
      </c>
      <c r="I24" s="1" t="s">
        <v>34</v>
      </c>
      <c r="J24" s="1" t="s">
        <v>25</v>
      </c>
      <c r="K24" s="1" t="s">
        <v>25</v>
      </c>
      <c r="L24" s="1">
        <v>125</v>
      </c>
      <c r="M24" s="1">
        <v>3700</v>
      </c>
      <c r="N24" s="3">
        <f t="shared" si="0"/>
        <v>12</v>
      </c>
      <c r="O24" s="3">
        <f t="shared" si="1"/>
        <v>2</v>
      </c>
      <c r="P24" s="3" t="str">
        <f t="shared" si="2"/>
        <v>Yes</v>
      </c>
      <c r="Q24" s="3">
        <f t="shared" si="3"/>
        <v>2</v>
      </c>
      <c r="R24" s="3">
        <f t="shared" si="4"/>
        <v>118750</v>
      </c>
      <c r="S24" s="3">
        <f t="shared" si="5"/>
        <v>0</v>
      </c>
      <c r="T24" s="3">
        <f t="shared" si="6"/>
        <v>1</v>
      </c>
      <c r="U24" s="3">
        <f t="shared" si="7"/>
        <v>3700</v>
      </c>
    </row>
    <row r="25" spans="1:21" x14ac:dyDescent="0.2">
      <c r="A25" s="1" t="s">
        <v>55</v>
      </c>
      <c r="B25" s="1" t="s">
        <v>22</v>
      </c>
      <c r="C25" s="2">
        <v>44990</v>
      </c>
      <c r="D25" s="2">
        <v>45010</v>
      </c>
      <c r="E25" s="2">
        <v>45018</v>
      </c>
      <c r="F25" s="1" t="s">
        <v>33</v>
      </c>
      <c r="G25" s="1">
        <v>550</v>
      </c>
      <c r="H25" s="1">
        <v>20</v>
      </c>
      <c r="I25" s="1" t="s">
        <v>24</v>
      </c>
      <c r="J25" s="1" t="s">
        <v>25</v>
      </c>
      <c r="K25" s="1" t="s">
        <v>26</v>
      </c>
      <c r="L25" s="1">
        <v>92</v>
      </c>
      <c r="M25" s="1">
        <v>8600</v>
      </c>
      <c r="N25" s="3">
        <f t="shared" si="0"/>
        <v>28</v>
      </c>
      <c r="O25" s="3">
        <f t="shared" si="1"/>
        <v>8</v>
      </c>
      <c r="P25" s="3" t="str">
        <f t="shared" si="2"/>
        <v>Yes</v>
      </c>
      <c r="Q25" s="3">
        <f t="shared" si="3"/>
        <v>8</v>
      </c>
      <c r="R25" s="3">
        <f t="shared" si="4"/>
        <v>50600</v>
      </c>
      <c r="S25" s="3">
        <f t="shared" si="5"/>
        <v>0</v>
      </c>
      <c r="T25" s="3">
        <f t="shared" si="6"/>
        <v>4.5</v>
      </c>
      <c r="U25" s="3">
        <f t="shared" si="7"/>
        <v>68800</v>
      </c>
    </row>
    <row r="26" spans="1:21" x14ac:dyDescent="0.2">
      <c r="A26" s="1" t="s">
        <v>31</v>
      </c>
      <c r="B26" s="1" t="s">
        <v>32</v>
      </c>
      <c r="C26" s="2">
        <v>44993</v>
      </c>
      <c r="D26" s="2">
        <v>45005</v>
      </c>
      <c r="E26" s="2">
        <v>45012</v>
      </c>
      <c r="F26" s="1" t="s">
        <v>33</v>
      </c>
      <c r="G26" s="1">
        <v>400</v>
      </c>
      <c r="H26" s="1">
        <v>12</v>
      </c>
      <c r="I26" s="1" t="s">
        <v>34</v>
      </c>
      <c r="J26" s="1" t="s">
        <v>25</v>
      </c>
      <c r="K26" s="1" t="s">
        <v>26</v>
      </c>
      <c r="L26" s="1">
        <v>85</v>
      </c>
      <c r="M26" s="1">
        <v>8200</v>
      </c>
      <c r="N26" s="3">
        <f t="shared" si="0"/>
        <v>19</v>
      </c>
      <c r="O26" s="3">
        <f t="shared" si="1"/>
        <v>7</v>
      </c>
      <c r="P26" s="3" t="str">
        <f t="shared" si="2"/>
        <v>Yes</v>
      </c>
      <c r="Q26" s="3">
        <f t="shared" si="3"/>
        <v>7</v>
      </c>
      <c r="R26" s="3">
        <f t="shared" si="4"/>
        <v>34000</v>
      </c>
      <c r="S26" s="3">
        <f t="shared" si="5"/>
        <v>0</v>
      </c>
      <c r="T26" s="3">
        <f t="shared" si="6"/>
        <v>4</v>
      </c>
      <c r="U26" s="3">
        <f t="shared" si="7"/>
        <v>57400</v>
      </c>
    </row>
    <row r="27" spans="1:21" x14ac:dyDescent="0.2">
      <c r="A27" s="1" t="s">
        <v>56</v>
      </c>
      <c r="B27" s="1" t="s">
        <v>28</v>
      </c>
      <c r="C27" s="2">
        <v>44995</v>
      </c>
      <c r="D27" s="2">
        <v>45010</v>
      </c>
      <c r="E27" s="2">
        <v>45012</v>
      </c>
      <c r="F27" s="1" t="s">
        <v>23</v>
      </c>
      <c r="G27" s="1">
        <v>1700</v>
      </c>
      <c r="H27" s="1">
        <v>15</v>
      </c>
      <c r="I27" s="1" t="s">
        <v>30</v>
      </c>
      <c r="J27" s="1" t="s">
        <v>25</v>
      </c>
      <c r="K27" s="1" t="s">
        <v>26</v>
      </c>
      <c r="L27" s="1">
        <v>50</v>
      </c>
      <c r="M27" s="1">
        <v>9300</v>
      </c>
      <c r="N27" s="3">
        <f t="shared" si="0"/>
        <v>17</v>
      </c>
      <c r="O27" s="3">
        <f t="shared" si="1"/>
        <v>2</v>
      </c>
      <c r="P27" s="3" t="str">
        <f t="shared" si="2"/>
        <v>Yes</v>
      </c>
      <c r="Q27" s="3">
        <f t="shared" si="3"/>
        <v>2</v>
      </c>
      <c r="R27" s="3">
        <f t="shared" si="4"/>
        <v>85000</v>
      </c>
      <c r="S27" s="3">
        <f t="shared" si="5"/>
        <v>0</v>
      </c>
      <c r="T27" s="3">
        <f t="shared" si="6"/>
        <v>1.5</v>
      </c>
      <c r="U27" s="3">
        <f t="shared" si="7"/>
        <v>18600</v>
      </c>
    </row>
    <row r="28" spans="1:21" x14ac:dyDescent="0.2">
      <c r="A28" s="1" t="s">
        <v>35</v>
      </c>
      <c r="B28" s="1" t="s">
        <v>22</v>
      </c>
      <c r="C28" s="2">
        <v>44997</v>
      </c>
      <c r="D28" s="2">
        <v>45017</v>
      </c>
      <c r="E28" s="2">
        <v>45034</v>
      </c>
      <c r="F28" s="1" t="s">
        <v>36</v>
      </c>
      <c r="G28" s="1">
        <v>600</v>
      </c>
      <c r="H28" s="1">
        <v>20</v>
      </c>
      <c r="I28" s="1" t="s">
        <v>24</v>
      </c>
      <c r="J28" s="1" t="s">
        <v>26</v>
      </c>
      <c r="K28" s="1" t="s">
        <v>26</v>
      </c>
      <c r="L28" s="1">
        <v>220</v>
      </c>
      <c r="M28" s="1">
        <v>12000</v>
      </c>
      <c r="N28" s="3">
        <f t="shared" si="0"/>
        <v>37</v>
      </c>
      <c r="O28" s="3">
        <f t="shared" si="1"/>
        <v>17</v>
      </c>
      <c r="P28" s="3" t="str">
        <f t="shared" si="2"/>
        <v>Yes</v>
      </c>
      <c r="Q28" s="3">
        <f t="shared" si="3"/>
        <v>17</v>
      </c>
      <c r="R28" s="3">
        <f t="shared" si="4"/>
        <v>132000</v>
      </c>
      <c r="S28" s="3">
        <f t="shared" si="5"/>
        <v>0</v>
      </c>
      <c r="T28" s="3">
        <f t="shared" si="6"/>
        <v>8.5</v>
      </c>
      <c r="U28" s="3">
        <f t="shared" si="7"/>
        <v>204000</v>
      </c>
    </row>
    <row r="29" spans="1:21" x14ac:dyDescent="0.2">
      <c r="A29" s="1" t="s">
        <v>57</v>
      </c>
      <c r="B29" s="1" t="s">
        <v>32</v>
      </c>
      <c r="C29" s="2">
        <v>45000</v>
      </c>
      <c r="D29" s="2">
        <v>45015</v>
      </c>
      <c r="E29" s="2">
        <v>45014</v>
      </c>
      <c r="F29" s="1" t="s">
        <v>42</v>
      </c>
      <c r="G29" s="1">
        <v>950</v>
      </c>
      <c r="H29" s="1">
        <v>15</v>
      </c>
      <c r="I29" s="1" t="s">
        <v>30</v>
      </c>
      <c r="J29" s="1" t="s">
        <v>25</v>
      </c>
      <c r="K29" s="1" t="s">
        <v>25</v>
      </c>
      <c r="L29" s="1">
        <v>68</v>
      </c>
      <c r="M29" s="1">
        <v>4300</v>
      </c>
      <c r="N29" s="3">
        <f t="shared" si="0"/>
        <v>14</v>
      </c>
      <c r="O29" s="3">
        <f t="shared" si="1"/>
        <v>-1</v>
      </c>
      <c r="P29" s="3" t="str">
        <f t="shared" si="2"/>
        <v>No</v>
      </c>
      <c r="Q29" s="3">
        <f t="shared" si="3"/>
        <v>0</v>
      </c>
      <c r="R29" s="3">
        <f t="shared" si="4"/>
        <v>64600</v>
      </c>
      <c r="S29" s="3">
        <f t="shared" si="5"/>
        <v>1</v>
      </c>
      <c r="T29" s="3">
        <f t="shared" si="6"/>
        <v>0</v>
      </c>
      <c r="U29" s="3">
        <f t="shared" si="7"/>
        <v>0</v>
      </c>
    </row>
    <row r="30" spans="1:21" x14ac:dyDescent="0.2">
      <c r="A30" s="1" t="s">
        <v>58</v>
      </c>
      <c r="B30" s="1" t="s">
        <v>22</v>
      </c>
      <c r="C30" s="2">
        <v>45003</v>
      </c>
      <c r="D30" s="2">
        <v>45023</v>
      </c>
      <c r="E30" s="2">
        <v>45025</v>
      </c>
      <c r="F30" s="1" t="s">
        <v>41</v>
      </c>
      <c r="G30" s="1">
        <v>380</v>
      </c>
      <c r="H30" s="1">
        <v>20</v>
      </c>
      <c r="I30" s="1" t="s">
        <v>24</v>
      </c>
      <c r="J30" s="1" t="s">
        <v>25</v>
      </c>
      <c r="K30" s="1" t="s">
        <v>26</v>
      </c>
      <c r="L30" s="1">
        <v>305</v>
      </c>
      <c r="M30" s="1">
        <v>14900</v>
      </c>
      <c r="N30" s="3">
        <f t="shared" si="0"/>
        <v>22</v>
      </c>
      <c r="O30" s="3">
        <f t="shared" si="1"/>
        <v>2</v>
      </c>
      <c r="P30" s="3" t="str">
        <f t="shared" si="2"/>
        <v>Yes</v>
      </c>
      <c r="Q30" s="3">
        <f t="shared" si="3"/>
        <v>2</v>
      </c>
      <c r="R30" s="3">
        <f t="shared" si="4"/>
        <v>115900</v>
      </c>
      <c r="S30" s="3">
        <f t="shared" si="5"/>
        <v>0</v>
      </c>
      <c r="T30" s="3">
        <f t="shared" si="6"/>
        <v>1.5</v>
      </c>
      <c r="U30" s="3">
        <f t="shared" si="7"/>
        <v>29800</v>
      </c>
    </row>
    <row r="31" spans="1:21" x14ac:dyDescent="0.2">
      <c r="A31" s="1" t="s">
        <v>59</v>
      </c>
      <c r="B31" s="1" t="s">
        <v>28</v>
      </c>
      <c r="C31" s="2">
        <v>45005</v>
      </c>
      <c r="D31" s="2">
        <v>45015</v>
      </c>
      <c r="E31" s="2">
        <v>45018</v>
      </c>
      <c r="F31" s="1" t="s">
        <v>38</v>
      </c>
      <c r="G31" s="1">
        <v>1400</v>
      </c>
      <c r="H31" s="1">
        <v>10</v>
      </c>
      <c r="I31" s="1" t="s">
        <v>34</v>
      </c>
      <c r="J31" s="1" t="s">
        <v>25</v>
      </c>
      <c r="K31" s="1" t="s">
        <v>25</v>
      </c>
      <c r="L31" s="1">
        <v>19</v>
      </c>
      <c r="M31" s="1">
        <v>2600</v>
      </c>
      <c r="N31" s="3">
        <f t="shared" si="0"/>
        <v>13</v>
      </c>
      <c r="O31" s="3">
        <f t="shared" si="1"/>
        <v>3</v>
      </c>
      <c r="P31" s="3" t="str">
        <f t="shared" si="2"/>
        <v>Yes</v>
      </c>
      <c r="Q31" s="3">
        <f t="shared" si="3"/>
        <v>3</v>
      </c>
      <c r="R31" s="3">
        <f t="shared" si="4"/>
        <v>26600</v>
      </c>
      <c r="S31" s="3">
        <f t="shared" si="5"/>
        <v>0</v>
      </c>
      <c r="T31" s="3">
        <f t="shared" si="6"/>
        <v>1.5</v>
      </c>
      <c r="U31" s="3">
        <f t="shared" si="7"/>
        <v>3900</v>
      </c>
    </row>
    <row r="32" spans="1:21" x14ac:dyDescent="0.2">
      <c r="A32" s="1" t="s">
        <v>21</v>
      </c>
      <c r="B32" s="1" t="s">
        <v>22</v>
      </c>
      <c r="C32" s="2">
        <v>45007</v>
      </c>
      <c r="D32" s="2">
        <v>45027</v>
      </c>
      <c r="E32" s="2">
        <v>45030</v>
      </c>
      <c r="F32" s="1" t="s">
        <v>23</v>
      </c>
      <c r="G32" s="1">
        <v>1250</v>
      </c>
      <c r="H32" s="1">
        <v>20</v>
      </c>
      <c r="I32" s="1" t="s">
        <v>24</v>
      </c>
      <c r="J32" s="1" t="s">
        <v>25</v>
      </c>
      <c r="K32" s="1" t="s">
        <v>26</v>
      </c>
      <c r="L32" s="1">
        <v>45</v>
      </c>
      <c r="M32" s="1">
        <v>9500</v>
      </c>
      <c r="N32" s="3">
        <f t="shared" si="0"/>
        <v>23</v>
      </c>
      <c r="O32" s="3">
        <f t="shared" si="1"/>
        <v>3</v>
      </c>
      <c r="P32" s="3" t="str">
        <f t="shared" si="2"/>
        <v>Yes</v>
      </c>
      <c r="Q32" s="3">
        <f t="shared" si="3"/>
        <v>3</v>
      </c>
      <c r="R32" s="3">
        <f t="shared" si="4"/>
        <v>56250</v>
      </c>
      <c r="S32" s="3">
        <f t="shared" si="5"/>
        <v>0</v>
      </c>
      <c r="T32" s="3">
        <f t="shared" si="6"/>
        <v>2</v>
      </c>
      <c r="U32" s="3">
        <f t="shared" si="7"/>
        <v>28500</v>
      </c>
    </row>
    <row r="33" spans="1:21" x14ac:dyDescent="0.2">
      <c r="A33" s="1" t="s">
        <v>60</v>
      </c>
      <c r="B33" s="1" t="s">
        <v>32</v>
      </c>
      <c r="C33" s="2">
        <v>45010</v>
      </c>
      <c r="D33" s="2">
        <v>45025</v>
      </c>
      <c r="E33" s="2">
        <v>45024</v>
      </c>
      <c r="F33" s="1" t="s">
        <v>29</v>
      </c>
      <c r="G33" s="1">
        <v>800</v>
      </c>
      <c r="H33" s="1">
        <v>15</v>
      </c>
      <c r="I33" s="1" t="s">
        <v>30</v>
      </c>
      <c r="J33" s="1" t="s">
        <v>25</v>
      </c>
      <c r="K33" s="1" t="s">
        <v>25</v>
      </c>
      <c r="L33" s="1">
        <v>122</v>
      </c>
      <c r="M33" s="1">
        <v>3650</v>
      </c>
      <c r="N33" s="3">
        <f t="shared" si="0"/>
        <v>14</v>
      </c>
      <c r="O33" s="3">
        <f t="shared" si="1"/>
        <v>-1</v>
      </c>
      <c r="P33" s="3" t="str">
        <f t="shared" si="2"/>
        <v>No</v>
      </c>
      <c r="Q33" s="3">
        <f t="shared" si="3"/>
        <v>0</v>
      </c>
      <c r="R33" s="3">
        <f t="shared" si="4"/>
        <v>97600</v>
      </c>
      <c r="S33" s="3">
        <f t="shared" si="5"/>
        <v>1</v>
      </c>
      <c r="T33" s="3">
        <f t="shared" si="6"/>
        <v>0</v>
      </c>
      <c r="U33" s="3">
        <f t="shared" si="7"/>
        <v>0</v>
      </c>
    </row>
    <row r="34" spans="1:21" x14ac:dyDescent="0.2">
      <c r="A34" s="1" t="s">
        <v>61</v>
      </c>
      <c r="B34" s="1" t="s">
        <v>28</v>
      </c>
      <c r="C34" s="2">
        <v>45013</v>
      </c>
      <c r="D34" s="2">
        <v>45028</v>
      </c>
      <c r="E34" s="2">
        <v>45030</v>
      </c>
      <c r="F34" s="1" t="s">
        <v>33</v>
      </c>
      <c r="G34" s="1">
        <v>480</v>
      </c>
      <c r="H34" s="1">
        <v>15</v>
      </c>
      <c r="I34" s="1" t="s">
        <v>34</v>
      </c>
      <c r="J34" s="1" t="s">
        <v>25</v>
      </c>
      <c r="K34" s="1" t="s">
        <v>26</v>
      </c>
      <c r="L34" s="1">
        <v>91</v>
      </c>
      <c r="M34" s="1">
        <v>8550</v>
      </c>
      <c r="N34" s="3">
        <f t="shared" si="0"/>
        <v>17</v>
      </c>
      <c r="O34" s="3">
        <f t="shared" si="1"/>
        <v>2</v>
      </c>
      <c r="P34" s="3" t="str">
        <f t="shared" si="2"/>
        <v>Yes</v>
      </c>
      <c r="Q34" s="3">
        <f t="shared" si="3"/>
        <v>2</v>
      </c>
      <c r="R34" s="3">
        <f t="shared" si="4"/>
        <v>43680</v>
      </c>
      <c r="S34" s="3">
        <f t="shared" si="5"/>
        <v>0</v>
      </c>
      <c r="T34" s="3">
        <f t="shared" si="6"/>
        <v>1.5</v>
      </c>
      <c r="U34" s="3">
        <f t="shared" si="7"/>
        <v>17100</v>
      </c>
    </row>
    <row r="35" spans="1:21" x14ac:dyDescent="0.2">
      <c r="A35" s="1" t="s">
        <v>62</v>
      </c>
      <c r="B35" s="1" t="s">
        <v>22</v>
      </c>
      <c r="C35" s="2">
        <v>45017</v>
      </c>
      <c r="D35" s="2">
        <v>45037</v>
      </c>
      <c r="E35" s="2">
        <v>45047</v>
      </c>
      <c r="F35" s="1" t="s">
        <v>36</v>
      </c>
      <c r="G35" s="1">
        <v>620</v>
      </c>
      <c r="H35" s="1">
        <v>20</v>
      </c>
      <c r="I35" s="1" t="s">
        <v>24</v>
      </c>
      <c r="J35" s="1" t="s">
        <v>26</v>
      </c>
      <c r="K35" s="1" t="s">
        <v>26</v>
      </c>
      <c r="L35" s="1">
        <v>218</v>
      </c>
      <c r="M35" s="1">
        <v>11900</v>
      </c>
      <c r="N35" s="3">
        <f t="shared" si="0"/>
        <v>30</v>
      </c>
      <c r="O35" s="3">
        <f t="shared" si="1"/>
        <v>10</v>
      </c>
      <c r="P35" s="3" t="str">
        <f t="shared" si="2"/>
        <v>Yes</v>
      </c>
      <c r="Q35" s="3">
        <f t="shared" si="3"/>
        <v>10</v>
      </c>
      <c r="R35" s="3">
        <f t="shared" si="4"/>
        <v>135160</v>
      </c>
      <c r="S35" s="3">
        <f t="shared" si="5"/>
        <v>0</v>
      </c>
      <c r="T35" s="3">
        <f t="shared" si="6"/>
        <v>8.5</v>
      </c>
      <c r="U35" s="3">
        <f t="shared" si="7"/>
        <v>119000</v>
      </c>
    </row>
    <row r="36" spans="1:21" x14ac:dyDescent="0.2">
      <c r="A36" s="1" t="s">
        <v>63</v>
      </c>
      <c r="B36" s="1" t="s">
        <v>32</v>
      </c>
      <c r="C36" s="2">
        <v>45019</v>
      </c>
      <c r="D36" s="2">
        <v>45029</v>
      </c>
      <c r="E36" s="2">
        <v>45030</v>
      </c>
      <c r="F36" s="1" t="s">
        <v>23</v>
      </c>
      <c r="G36" s="1">
        <v>1850</v>
      </c>
      <c r="H36" s="1">
        <v>10</v>
      </c>
      <c r="I36" s="1" t="s">
        <v>34</v>
      </c>
      <c r="J36" s="1" t="s">
        <v>25</v>
      </c>
      <c r="K36" s="1" t="s">
        <v>26</v>
      </c>
      <c r="L36" s="1">
        <v>46</v>
      </c>
      <c r="M36" s="1">
        <v>9100</v>
      </c>
      <c r="N36" s="3">
        <f t="shared" si="0"/>
        <v>11</v>
      </c>
      <c r="O36" s="3">
        <f t="shared" si="1"/>
        <v>1</v>
      </c>
      <c r="P36" s="3" t="str">
        <f t="shared" si="2"/>
        <v>Yes</v>
      </c>
      <c r="Q36" s="3">
        <f t="shared" si="3"/>
        <v>1</v>
      </c>
      <c r="R36" s="3">
        <f t="shared" si="4"/>
        <v>85100</v>
      </c>
      <c r="S36" s="3">
        <f t="shared" si="5"/>
        <v>0</v>
      </c>
      <c r="T36" s="3">
        <f t="shared" si="6"/>
        <v>1</v>
      </c>
      <c r="U36" s="3">
        <f t="shared" si="7"/>
        <v>9100</v>
      </c>
    </row>
    <row r="37" spans="1:21" x14ac:dyDescent="0.2">
      <c r="A37" s="1" t="s">
        <v>64</v>
      </c>
      <c r="B37" s="1" t="s">
        <v>28</v>
      </c>
      <c r="C37" s="2">
        <v>45021</v>
      </c>
      <c r="D37" s="2">
        <v>45036</v>
      </c>
      <c r="E37" s="2">
        <v>45035</v>
      </c>
      <c r="F37" s="1" t="s">
        <v>41</v>
      </c>
      <c r="G37" s="1">
        <v>330</v>
      </c>
      <c r="H37" s="1">
        <v>15</v>
      </c>
      <c r="I37" s="1" t="s">
        <v>30</v>
      </c>
      <c r="J37" s="1" t="s">
        <v>25</v>
      </c>
      <c r="K37" s="1" t="s">
        <v>26</v>
      </c>
      <c r="L37" s="1">
        <v>298</v>
      </c>
      <c r="M37" s="1">
        <v>14700</v>
      </c>
      <c r="N37" s="3">
        <f t="shared" si="0"/>
        <v>14</v>
      </c>
      <c r="O37" s="3">
        <f t="shared" si="1"/>
        <v>-1</v>
      </c>
      <c r="P37" s="3" t="str">
        <f t="shared" si="2"/>
        <v>No</v>
      </c>
      <c r="Q37" s="3">
        <f t="shared" si="3"/>
        <v>0</v>
      </c>
      <c r="R37" s="3">
        <f t="shared" si="4"/>
        <v>98340</v>
      </c>
      <c r="S37" s="3">
        <f t="shared" si="5"/>
        <v>1</v>
      </c>
      <c r="T37" s="3">
        <f t="shared" si="6"/>
        <v>0</v>
      </c>
      <c r="U37" s="3">
        <f t="shared" si="7"/>
        <v>0</v>
      </c>
    </row>
    <row r="38" spans="1:21" x14ac:dyDescent="0.2">
      <c r="A38" s="1" t="s">
        <v>35</v>
      </c>
      <c r="B38" s="1" t="s">
        <v>22</v>
      </c>
      <c r="C38" s="2">
        <v>45024</v>
      </c>
      <c r="D38" s="2">
        <v>45044</v>
      </c>
      <c r="E38" s="2">
        <v>45051</v>
      </c>
      <c r="F38" s="1" t="s">
        <v>36</v>
      </c>
      <c r="G38" s="1">
        <v>680</v>
      </c>
      <c r="H38" s="1">
        <v>20</v>
      </c>
      <c r="I38" s="1" t="s">
        <v>24</v>
      </c>
      <c r="J38" s="1" t="s">
        <v>25</v>
      </c>
      <c r="K38" s="1" t="s">
        <v>26</v>
      </c>
      <c r="L38" s="1">
        <v>220</v>
      </c>
      <c r="M38" s="1">
        <v>12000</v>
      </c>
      <c r="N38" s="3">
        <f t="shared" si="0"/>
        <v>27</v>
      </c>
      <c r="O38" s="3">
        <f t="shared" si="1"/>
        <v>7</v>
      </c>
      <c r="P38" s="3" t="str">
        <f t="shared" si="2"/>
        <v>Yes</v>
      </c>
      <c r="Q38" s="3">
        <f t="shared" si="3"/>
        <v>7</v>
      </c>
      <c r="R38" s="3">
        <f t="shared" si="4"/>
        <v>149600</v>
      </c>
      <c r="S38" s="3">
        <f t="shared" si="5"/>
        <v>0</v>
      </c>
      <c r="T38" s="3">
        <f t="shared" si="6"/>
        <v>4</v>
      </c>
      <c r="U38" s="3">
        <f t="shared" si="7"/>
        <v>84000</v>
      </c>
    </row>
    <row r="39" spans="1:21" x14ac:dyDescent="0.2">
      <c r="A39" s="1" t="s">
        <v>65</v>
      </c>
      <c r="B39" s="1" t="s">
        <v>32</v>
      </c>
      <c r="C39" s="2">
        <v>45026</v>
      </c>
      <c r="D39" s="2">
        <v>45041</v>
      </c>
      <c r="E39" s="2">
        <v>45040</v>
      </c>
      <c r="F39" s="1" t="s">
        <v>38</v>
      </c>
      <c r="G39" s="1">
        <v>1600</v>
      </c>
      <c r="H39" s="1">
        <v>15</v>
      </c>
      <c r="I39" s="1" t="s">
        <v>30</v>
      </c>
      <c r="J39" s="1" t="s">
        <v>25</v>
      </c>
      <c r="K39" s="1" t="s">
        <v>25</v>
      </c>
      <c r="L39" s="1">
        <v>16</v>
      </c>
      <c r="M39" s="1">
        <v>2300</v>
      </c>
      <c r="N39" s="3">
        <f t="shared" si="0"/>
        <v>14</v>
      </c>
      <c r="O39" s="3">
        <f t="shared" si="1"/>
        <v>-1</v>
      </c>
      <c r="P39" s="3" t="str">
        <f t="shared" si="2"/>
        <v>No</v>
      </c>
      <c r="Q39" s="3">
        <f t="shared" si="3"/>
        <v>0</v>
      </c>
      <c r="R39" s="3">
        <f t="shared" si="4"/>
        <v>25600</v>
      </c>
      <c r="S39" s="3">
        <f t="shared" si="5"/>
        <v>1</v>
      </c>
      <c r="T39" s="3">
        <f t="shared" si="6"/>
        <v>0</v>
      </c>
      <c r="U39" s="3">
        <f t="shared" si="7"/>
        <v>0</v>
      </c>
    </row>
    <row r="40" spans="1:21" x14ac:dyDescent="0.2">
      <c r="A40" s="1" t="s">
        <v>66</v>
      </c>
      <c r="B40" s="1" t="s">
        <v>22</v>
      </c>
      <c r="C40" s="2">
        <v>45028</v>
      </c>
      <c r="D40" s="2">
        <v>45048</v>
      </c>
      <c r="E40" s="2">
        <v>45049</v>
      </c>
      <c r="F40" s="1" t="s">
        <v>29</v>
      </c>
      <c r="G40" s="1">
        <v>920</v>
      </c>
      <c r="H40" s="1">
        <v>20</v>
      </c>
      <c r="I40" s="1" t="s">
        <v>24</v>
      </c>
      <c r="J40" s="1" t="s">
        <v>25</v>
      </c>
      <c r="K40" s="1" t="s">
        <v>25</v>
      </c>
      <c r="L40" s="1">
        <v>117</v>
      </c>
      <c r="M40" s="1">
        <v>3550</v>
      </c>
      <c r="N40" s="3">
        <f t="shared" si="0"/>
        <v>21</v>
      </c>
      <c r="O40" s="3">
        <f t="shared" si="1"/>
        <v>1</v>
      </c>
      <c r="P40" s="3" t="str">
        <f t="shared" si="2"/>
        <v>Yes</v>
      </c>
      <c r="Q40" s="3">
        <f t="shared" si="3"/>
        <v>1</v>
      </c>
      <c r="R40" s="3">
        <f t="shared" si="4"/>
        <v>107640</v>
      </c>
      <c r="S40" s="3">
        <f t="shared" si="5"/>
        <v>0</v>
      </c>
      <c r="T40" s="3">
        <f t="shared" si="6"/>
        <v>0.5</v>
      </c>
      <c r="U40" s="3">
        <f t="shared" si="7"/>
        <v>1775</v>
      </c>
    </row>
    <row r="41" spans="1:21" x14ac:dyDescent="0.2">
      <c r="A41" s="1" t="s">
        <v>67</v>
      </c>
      <c r="B41" s="1" t="s">
        <v>28</v>
      </c>
      <c r="C41" s="2">
        <v>45031</v>
      </c>
      <c r="D41" s="2">
        <v>45041</v>
      </c>
      <c r="E41" s="2">
        <v>45046</v>
      </c>
      <c r="F41" s="1" t="s">
        <v>42</v>
      </c>
      <c r="G41" s="1">
        <v>650</v>
      </c>
      <c r="H41" s="1">
        <v>10</v>
      </c>
      <c r="I41" s="1" t="s">
        <v>34</v>
      </c>
      <c r="J41" s="1" t="s">
        <v>25</v>
      </c>
      <c r="K41" s="1" t="s">
        <v>25</v>
      </c>
      <c r="L41" s="1">
        <v>72</v>
      </c>
      <c r="M41" s="1">
        <v>4600</v>
      </c>
      <c r="N41" s="3">
        <f t="shared" si="0"/>
        <v>15</v>
      </c>
      <c r="O41" s="3">
        <f t="shared" si="1"/>
        <v>5</v>
      </c>
      <c r="P41" s="3" t="str">
        <f t="shared" si="2"/>
        <v>Yes</v>
      </c>
      <c r="Q41" s="3">
        <f t="shared" si="3"/>
        <v>5</v>
      </c>
      <c r="R41" s="3">
        <f t="shared" si="4"/>
        <v>46800</v>
      </c>
      <c r="S41" s="3">
        <f t="shared" si="5"/>
        <v>0</v>
      </c>
      <c r="T41" s="3">
        <f t="shared" si="6"/>
        <v>2.5</v>
      </c>
      <c r="U41" s="3">
        <f t="shared" si="7"/>
        <v>11500</v>
      </c>
    </row>
    <row r="42" spans="1:21" x14ac:dyDescent="0.2">
      <c r="A42" s="1" t="s">
        <v>68</v>
      </c>
      <c r="B42" s="1" t="s">
        <v>32</v>
      </c>
      <c r="C42" s="2">
        <v>45034</v>
      </c>
      <c r="D42" s="2">
        <v>45049</v>
      </c>
      <c r="E42" s="2">
        <v>45056</v>
      </c>
      <c r="F42" s="1" t="s">
        <v>33</v>
      </c>
      <c r="G42" s="1">
        <v>520</v>
      </c>
      <c r="H42" s="1">
        <v>15</v>
      </c>
      <c r="I42" s="1" t="s">
        <v>34</v>
      </c>
      <c r="J42" s="1" t="s">
        <v>25</v>
      </c>
      <c r="K42" s="1" t="s">
        <v>26</v>
      </c>
      <c r="L42" s="1">
        <v>87</v>
      </c>
      <c r="M42" s="1">
        <v>8400</v>
      </c>
      <c r="N42" s="3">
        <f t="shared" si="0"/>
        <v>22</v>
      </c>
      <c r="O42" s="3">
        <f t="shared" si="1"/>
        <v>7</v>
      </c>
      <c r="P42" s="3" t="str">
        <f t="shared" si="2"/>
        <v>Yes</v>
      </c>
      <c r="Q42" s="3">
        <f t="shared" si="3"/>
        <v>7</v>
      </c>
      <c r="R42" s="3">
        <f t="shared" si="4"/>
        <v>45240</v>
      </c>
      <c r="S42" s="3">
        <f t="shared" si="5"/>
        <v>0</v>
      </c>
      <c r="T42" s="3">
        <f t="shared" si="6"/>
        <v>4</v>
      </c>
      <c r="U42" s="3">
        <f t="shared" si="7"/>
        <v>58800</v>
      </c>
    </row>
    <row r="43" spans="1:21" x14ac:dyDescent="0.2">
      <c r="A43" s="1" t="s">
        <v>21</v>
      </c>
      <c r="B43" s="1" t="s">
        <v>22</v>
      </c>
      <c r="C43" s="2">
        <v>45036</v>
      </c>
      <c r="D43" s="2">
        <v>45056</v>
      </c>
      <c r="E43" s="2">
        <v>45065</v>
      </c>
      <c r="F43" s="1" t="s">
        <v>23</v>
      </c>
      <c r="G43" s="1">
        <v>1350</v>
      </c>
      <c r="H43" s="1">
        <v>20</v>
      </c>
      <c r="I43" s="1" t="s">
        <v>24</v>
      </c>
      <c r="J43" s="1" t="s">
        <v>26</v>
      </c>
      <c r="K43" s="1" t="s">
        <v>26</v>
      </c>
      <c r="L43" s="1">
        <v>45</v>
      </c>
      <c r="M43" s="1">
        <v>9500</v>
      </c>
      <c r="N43" s="3">
        <f t="shared" si="0"/>
        <v>29</v>
      </c>
      <c r="O43" s="3">
        <f t="shared" si="1"/>
        <v>9</v>
      </c>
      <c r="P43" s="3" t="str">
        <f t="shared" si="2"/>
        <v>Yes</v>
      </c>
      <c r="Q43" s="3">
        <f t="shared" si="3"/>
        <v>9</v>
      </c>
      <c r="R43" s="3">
        <f t="shared" si="4"/>
        <v>60750</v>
      </c>
      <c r="S43" s="3">
        <f t="shared" si="5"/>
        <v>0</v>
      </c>
      <c r="T43" s="3">
        <f t="shared" si="6"/>
        <v>8</v>
      </c>
      <c r="U43" s="3">
        <f t="shared" si="7"/>
        <v>85500</v>
      </c>
    </row>
    <row r="44" spans="1:21" x14ac:dyDescent="0.2">
      <c r="A44" s="1" t="s">
        <v>69</v>
      </c>
      <c r="B44" s="1" t="s">
        <v>28</v>
      </c>
      <c r="C44" s="2">
        <v>45038</v>
      </c>
      <c r="D44" s="2">
        <v>45053</v>
      </c>
      <c r="E44" s="2">
        <v>45052</v>
      </c>
      <c r="F44" s="1" t="s">
        <v>41</v>
      </c>
      <c r="G44" s="1">
        <v>370</v>
      </c>
      <c r="H44" s="1">
        <v>15</v>
      </c>
      <c r="I44" s="1" t="s">
        <v>30</v>
      </c>
      <c r="J44" s="1" t="s">
        <v>25</v>
      </c>
      <c r="K44" s="1" t="s">
        <v>26</v>
      </c>
      <c r="L44" s="1">
        <v>302</v>
      </c>
      <c r="M44" s="1">
        <v>14850</v>
      </c>
      <c r="N44" s="3">
        <f t="shared" si="0"/>
        <v>14</v>
      </c>
      <c r="O44" s="3">
        <f t="shared" si="1"/>
        <v>-1</v>
      </c>
      <c r="P44" s="3" t="str">
        <f t="shared" si="2"/>
        <v>No</v>
      </c>
      <c r="Q44" s="3">
        <f t="shared" si="3"/>
        <v>0</v>
      </c>
      <c r="R44" s="3">
        <f t="shared" si="4"/>
        <v>111740</v>
      </c>
      <c r="S44" s="3">
        <f t="shared" si="5"/>
        <v>1</v>
      </c>
      <c r="T44" s="3">
        <f t="shared" si="6"/>
        <v>0</v>
      </c>
      <c r="U44" s="3">
        <f t="shared" si="7"/>
        <v>0</v>
      </c>
    </row>
    <row r="45" spans="1:21" x14ac:dyDescent="0.2">
      <c r="A45" s="1" t="s">
        <v>70</v>
      </c>
      <c r="B45" s="1" t="s">
        <v>22</v>
      </c>
      <c r="C45" s="2">
        <v>45041</v>
      </c>
      <c r="D45" s="2">
        <v>45061</v>
      </c>
      <c r="E45" s="2">
        <v>45075</v>
      </c>
      <c r="F45" s="1" t="s">
        <v>36</v>
      </c>
      <c r="G45" s="1">
        <v>580</v>
      </c>
      <c r="H45" s="1">
        <v>20</v>
      </c>
      <c r="I45" s="1" t="s">
        <v>24</v>
      </c>
      <c r="J45" s="1" t="s">
        <v>26</v>
      </c>
      <c r="K45" s="1" t="s">
        <v>26</v>
      </c>
      <c r="L45" s="1">
        <v>212</v>
      </c>
      <c r="M45" s="1">
        <v>11700</v>
      </c>
      <c r="N45" s="3">
        <f t="shared" si="0"/>
        <v>34</v>
      </c>
      <c r="O45" s="3">
        <f t="shared" si="1"/>
        <v>14</v>
      </c>
      <c r="P45" s="3" t="str">
        <f t="shared" si="2"/>
        <v>Yes</v>
      </c>
      <c r="Q45" s="3">
        <f t="shared" si="3"/>
        <v>14</v>
      </c>
      <c r="R45" s="3">
        <f t="shared" si="4"/>
        <v>122960</v>
      </c>
      <c r="S45" s="3">
        <f t="shared" si="5"/>
        <v>0</v>
      </c>
      <c r="T45" s="3">
        <f t="shared" si="6"/>
        <v>8.5</v>
      </c>
      <c r="U45" s="3">
        <f t="shared" si="7"/>
        <v>163800</v>
      </c>
    </row>
    <row r="46" spans="1:21" x14ac:dyDescent="0.2">
      <c r="A46" s="1" t="s">
        <v>71</v>
      </c>
      <c r="B46" s="1" t="s">
        <v>32</v>
      </c>
      <c r="C46" s="2">
        <v>45044</v>
      </c>
      <c r="D46" s="2">
        <v>45054</v>
      </c>
      <c r="E46" s="2">
        <v>45053</v>
      </c>
      <c r="F46" s="1" t="s">
        <v>38</v>
      </c>
      <c r="G46" s="1">
        <v>1550</v>
      </c>
      <c r="H46" s="1">
        <v>10</v>
      </c>
      <c r="I46" s="1" t="s">
        <v>34</v>
      </c>
      <c r="J46" s="1" t="s">
        <v>25</v>
      </c>
      <c r="K46" s="1" t="s">
        <v>25</v>
      </c>
      <c r="L46" s="1">
        <v>18</v>
      </c>
      <c r="M46" s="1">
        <v>2500</v>
      </c>
      <c r="N46" s="3">
        <f t="shared" si="0"/>
        <v>9</v>
      </c>
      <c r="O46" s="3">
        <f t="shared" si="1"/>
        <v>-1</v>
      </c>
      <c r="P46" s="3" t="str">
        <f t="shared" si="2"/>
        <v>No</v>
      </c>
      <c r="Q46" s="3">
        <f t="shared" si="3"/>
        <v>0</v>
      </c>
      <c r="R46" s="3">
        <f t="shared" si="4"/>
        <v>27900</v>
      </c>
      <c r="S46" s="3">
        <f t="shared" si="5"/>
        <v>1</v>
      </c>
      <c r="T46" s="3">
        <f t="shared" si="6"/>
        <v>0</v>
      </c>
      <c r="U46" s="3">
        <f t="shared" si="7"/>
        <v>0</v>
      </c>
    </row>
    <row r="47" spans="1:21" x14ac:dyDescent="0.2">
      <c r="A47" s="1" t="s">
        <v>72</v>
      </c>
      <c r="B47" s="1" t="s">
        <v>28</v>
      </c>
      <c r="C47" s="2">
        <v>45047</v>
      </c>
      <c r="D47" s="2">
        <v>45057</v>
      </c>
      <c r="E47" s="2">
        <v>45059</v>
      </c>
      <c r="F47" s="1" t="s">
        <v>29</v>
      </c>
      <c r="G47" s="1">
        <v>880</v>
      </c>
      <c r="H47" s="1">
        <v>10</v>
      </c>
      <c r="I47" s="1" t="s">
        <v>34</v>
      </c>
      <c r="J47" s="1" t="s">
        <v>25</v>
      </c>
      <c r="K47" s="1" t="s">
        <v>25</v>
      </c>
      <c r="L47" s="1">
        <v>121</v>
      </c>
      <c r="M47" s="1">
        <v>3650</v>
      </c>
      <c r="N47" s="3">
        <f t="shared" si="0"/>
        <v>12</v>
      </c>
      <c r="O47" s="3">
        <f t="shared" si="1"/>
        <v>2</v>
      </c>
      <c r="P47" s="3" t="str">
        <f t="shared" si="2"/>
        <v>Yes</v>
      </c>
      <c r="Q47" s="3">
        <f t="shared" si="3"/>
        <v>2</v>
      </c>
      <c r="R47" s="3">
        <f t="shared" si="4"/>
        <v>106480</v>
      </c>
      <c r="S47" s="3">
        <f t="shared" si="5"/>
        <v>0</v>
      </c>
      <c r="T47" s="3">
        <f t="shared" si="6"/>
        <v>1</v>
      </c>
      <c r="U47" s="3">
        <f t="shared" si="7"/>
        <v>3650</v>
      </c>
    </row>
    <row r="48" spans="1:21" x14ac:dyDescent="0.2">
      <c r="A48" s="1" t="s">
        <v>73</v>
      </c>
      <c r="B48" s="1" t="s">
        <v>22</v>
      </c>
      <c r="C48" s="2">
        <v>45049</v>
      </c>
      <c r="D48" s="2">
        <v>45069</v>
      </c>
      <c r="E48" s="2">
        <v>45074</v>
      </c>
      <c r="F48" s="1" t="s">
        <v>33</v>
      </c>
      <c r="G48" s="1">
        <v>470</v>
      </c>
      <c r="H48" s="1">
        <v>20</v>
      </c>
      <c r="I48" s="1" t="s">
        <v>24</v>
      </c>
      <c r="J48" s="1" t="s">
        <v>25</v>
      </c>
      <c r="K48" s="1" t="s">
        <v>26</v>
      </c>
      <c r="L48" s="1">
        <v>89</v>
      </c>
      <c r="M48" s="1">
        <v>8450</v>
      </c>
      <c r="N48" s="3">
        <f t="shared" si="0"/>
        <v>25</v>
      </c>
      <c r="O48" s="3">
        <f t="shared" si="1"/>
        <v>5</v>
      </c>
      <c r="P48" s="3" t="str">
        <f t="shared" si="2"/>
        <v>Yes</v>
      </c>
      <c r="Q48" s="3">
        <f t="shared" si="3"/>
        <v>5</v>
      </c>
      <c r="R48" s="3">
        <f t="shared" si="4"/>
        <v>41830</v>
      </c>
      <c r="S48" s="3">
        <f t="shared" si="5"/>
        <v>0</v>
      </c>
      <c r="T48" s="3">
        <f t="shared" si="6"/>
        <v>3</v>
      </c>
      <c r="U48" s="3">
        <f t="shared" si="7"/>
        <v>42250</v>
      </c>
    </row>
    <row r="49" spans="1:21" x14ac:dyDescent="0.2">
      <c r="A49" s="1" t="s">
        <v>74</v>
      </c>
      <c r="B49" s="1" t="s">
        <v>32</v>
      </c>
      <c r="C49" s="2">
        <v>45052</v>
      </c>
      <c r="D49" s="2">
        <v>45062</v>
      </c>
      <c r="E49" s="2">
        <v>45063</v>
      </c>
      <c r="F49" s="1" t="s">
        <v>23</v>
      </c>
      <c r="G49" s="1">
        <v>1900</v>
      </c>
      <c r="H49" s="1">
        <v>10</v>
      </c>
      <c r="I49" s="1" t="s">
        <v>30</v>
      </c>
      <c r="J49" s="1" t="s">
        <v>25</v>
      </c>
      <c r="K49" s="1" t="s">
        <v>26</v>
      </c>
      <c r="L49" s="1">
        <v>47</v>
      </c>
      <c r="M49" s="1">
        <v>9150</v>
      </c>
      <c r="N49" s="3">
        <f t="shared" si="0"/>
        <v>11</v>
      </c>
      <c r="O49" s="3">
        <f t="shared" si="1"/>
        <v>1</v>
      </c>
      <c r="P49" s="3" t="str">
        <f t="shared" si="2"/>
        <v>Yes</v>
      </c>
      <c r="Q49" s="3">
        <f t="shared" si="3"/>
        <v>1</v>
      </c>
      <c r="R49" s="3">
        <f t="shared" si="4"/>
        <v>89300</v>
      </c>
      <c r="S49" s="3">
        <f t="shared" si="5"/>
        <v>0</v>
      </c>
      <c r="T49" s="3">
        <f t="shared" si="6"/>
        <v>1</v>
      </c>
      <c r="U49" s="3">
        <f t="shared" si="7"/>
        <v>9150</v>
      </c>
    </row>
    <row r="50" spans="1:21" x14ac:dyDescent="0.2">
      <c r="A50" s="1" t="s">
        <v>75</v>
      </c>
      <c r="B50" s="1" t="s">
        <v>28</v>
      </c>
      <c r="C50" s="2">
        <v>45054</v>
      </c>
      <c r="D50" s="2">
        <v>45069</v>
      </c>
      <c r="E50" s="2">
        <v>45070</v>
      </c>
      <c r="F50" s="1" t="s">
        <v>41</v>
      </c>
      <c r="G50" s="1">
        <v>340</v>
      </c>
      <c r="H50" s="1">
        <v>15</v>
      </c>
      <c r="I50" s="1" t="s">
        <v>34</v>
      </c>
      <c r="J50" s="1" t="s">
        <v>25</v>
      </c>
      <c r="K50" s="1" t="s">
        <v>26</v>
      </c>
      <c r="L50" s="1">
        <v>297</v>
      </c>
      <c r="M50" s="1">
        <v>14650</v>
      </c>
      <c r="N50" s="3">
        <f t="shared" si="0"/>
        <v>16</v>
      </c>
      <c r="O50" s="3">
        <f t="shared" si="1"/>
        <v>1</v>
      </c>
      <c r="P50" s="3" t="str">
        <f t="shared" si="2"/>
        <v>Yes</v>
      </c>
      <c r="Q50" s="3">
        <f t="shared" si="3"/>
        <v>1</v>
      </c>
      <c r="R50" s="3">
        <f t="shared" si="4"/>
        <v>100980</v>
      </c>
      <c r="S50" s="3">
        <f t="shared" si="5"/>
        <v>0</v>
      </c>
      <c r="T50" s="3">
        <f t="shared" si="6"/>
        <v>1</v>
      </c>
      <c r="U50" s="3">
        <f t="shared" si="7"/>
        <v>14650</v>
      </c>
    </row>
    <row r="51" spans="1:21" x14ac:dyDescent="0.2">
      <c r="A51" s="1" t="s">
        <v>35</v>
      </c>
      <c r="B51" s="1" t="s">
        <v>22</v>
      </c>
      <c r="C51" s="2">
        <v>45056</v>
      </c>
      <c r="D51" s="2">
        <v>45076</v>
      </c>
      <c r="E51" s="2">
        <v>45089</v>
      </c>
      <c r="F51" s="1" t="s">
        <v>36</v>
      </c>
      <c r="G51" s="1">
        <v>670</v>
      </c>
      <c r="H51" s="1">
        <v>20</v>
      </c>
      <c r="I51" s="1" t="s">
        <v>24</v>
      </c>
      <c r="J51" s="1" t="s">
        <v>26</v>
      </c>
      <c r="K51" s="1" t="s">
        <v>26</v>
      </c>
      <c r="L51" s="1">
        <v>220</v>
      </c>
      <c r="M51" s="1">
        <v>12000</v>
      </c>
      <c r="N51" s="3">
        <f t="shared" si="0"/>
        <v>33</v>
      </c>
      <c r="O51" s="3">
        <f t="shared" si="1"/>
        <v>13</v>
      </c>
      <c r="P51" s="3" t="str">
        <f t="shared" si="2"/>
        <v>Yes</v>
      </c>
      <c r="Q51" s="3">
        <f t="shared" si="3"/>
        <v>13</v>
      </c>
      <c r="R51" s="3">
        <f t="shared" si="4"/>
        <v>147400</v>
      </c>
      <c r="S51" s="3">
        <f t="shared" si="5"/>
        <v>0</v>
      </c>
      <c r="T51" s="3">
        <f t="shared" si="6"/>
        <v>8.5</v>
      </c>
      <c r="U51" s="3">
        <f t="shared" si="7"/>
        <v>156000</v>
      </c>
    </row>
    <row r="52" spans="1:21" x14ac:dyDescent="0.2">
      <c r="A52" s="1" t="s">
        <v>76</v>
      </c>
      <c r="B52" s="1" t="s">
        <v>32</v>
      </c>
      <c r="C52" s="2">
        <v>45058</v>
      </c>
      <c r="D52" s="2">
        <v>45073</v>
      </c>
      <c r="E52" s="2">
        <v>45072</v>
      </c>
      <c r="F52" s="1" t="s">
        <v>42</v>
      </c>
      <c r="G52" s="1">
        <v>980</v>
      </c>
      <c r="H52" s="1">
        <v>15</v>
      </c>
      <c r="I52" s="1" t="s">
        <v>30</v>
      </c>
      <c r="J52" s="1" t="s">
        <v>25</v>
      </c>
      <c r="K52" s="1" t="s">
        <v>25</v>
      </c>
      <c r="L52" s="1">
        <v>69</v>
      </c>
      <c r="M52" s="1">
        <v>4400</v>
      </c>
      <c r="N52" s="3">
        <f t="shared" si="0"/>
        <v>14</v>
      </c>
      <c r="O52" s="3">
        <f t="shared" si="1"/>
        <v>-1</v>
      </c>
      <c r="P52" s="3" t="str">
        <f t="shared" si="2"/>
        <v>No</v>
      </c>
      <c r="Q52" s="3">
        <f t="shared" si="3"/>
        <v>0</v>
      </c>
      <c r="R52" s="3">
        <f t="shared" si="4"/>
        <v>67620</v>
      </c>
      <c r="S52" s="3">
        <f t="shared" si="5"/>
        <v>1</v>
      </c>
      <c r="T52" s="3">
        <f t="shared" si="6"/>
        <v>0</v>
      </c>
      <c r="U52" s="3">
        <f t="shared" si="7"/>
        <v>0</v>
      </c>
    </row>
    <row r="53" spans="1:21" x14ac:dyDescent="0.2">
      <c r="A53" s="1" t="s">
        <v>77</v>
      </c>
      <c r="B53" s="1" t="s">
        <v>22</v>
      </c>
      <c r="C53" s="2">
        <v>45061</v>
      </c>
      <c r="D53" s="2">
        <v>45081</v>
      </c>
      <c r="E53" s="2">
        <v>45083</v>
      </c>
      <c r="F53" s="1" t="s">
        <v>29</v>
      </c>
      <c r="G53" s="1">
        <v>910</v>
      </c>
      <c r="H53" s="1">
        <v>20</v>
      </c>
      <c r="I53" s="1" t="s">
        <v>24</v>
      </c>
      <c r="J53" s="1" t="s">
        <v>25</v>
      </c>
      <c r="K53" s="1" t="s">
        <v>25</v>
      </c>
      <c r="L53" s="1">
        <v>119</v>
      </c>
      <c r="M53" s="1">
        <v>3600</v>
      </c>
      <c r="N53" s="3">
        <f t="shared" si="0"/>
        <v>22</v>
      </c>
      <c r="O53" s="3">
        <f t="shared" si="1"/>
        <v>2</v>
      </c>
      <c r="P53" s="3" t="str">
        <f t="shared" si="2"/>
        <v>Yes</v>
      </c>
      <c r="Q53" s="3">
        <f t="shared" si="3"/>
        <v>2</v>
      </c>
      <c r="R53" s="3">
        <f t="shared" si="4"/>
        <v>108290</v>
      </c>
      <c r="S53" s="3">
        <f t="shared" si="5"/>
        <v>0</v>
      </c>
      <c r="T53" s="3">
        <f t="shared" si="6"/>
        <v>1</v>
      </c>
      <c r="U53" s="3">
        <f t="shared" si="7"/>
        <v>3600</v>
      </c>
    </row>
    <row r="54" spans="1:21" x14ac:dyDescent="0.2">
      <c r="A54" s="1" t="s">
        <v>78</v>
      </c>
      <c r="B54" s="1" t="s">
        <v>28</v>
      </c>
      <c r="C54" s="2">
        <v>45064</v>
      </c>
      <c r="D54" s="2">
        <v>45074</v>
      </c>
      <c r="E54" s="2">
        <v>45078</v>
      </c>
      <c r="F54" s="1" t="s">
        <v>38</v>
      </c>
      <c r="G54" s="1">
        <v>1350</v>
      </c>
      <c r="H54" s="1">
        <v>10</v>
      </c>
      <c r="I54" s="1" t="s">
        <v>34</v>
      </c>
      <c r="J54" s="1" t="s">
        <v>25</v>
      </c>
      <c r="K54" s="1" t="s">
        <v>25</v>
      </c>
      <c r="L54" s="1">
        <v>19</v>
      </c>
      <c r="M54" s="1">
        <v>2600</v>
      </c>
      <c r="N54" s="3">
        <f t="shared" si="0"/>
        <v>14</v>
      </c>
      <c r="O54" s="3">
        <f t="shared" si="1"/>
        <v>4</v>
      </c>
      <c r="P54" s="3" t="str">
        <f t="shared" si="2"/>
        <v>Yes</v>
      </c>
      <c r="Q54" s="3">
        <f t="shared" si="3"/>
        <v>4</v>
      </c>
      <c r="R54" s="3">
        <f t="shared" si="4"/>
        <v>25650</v>
      </c>
      <c r="S54" s="3">
        <f t="shared" si="5"/>
        <v>0</v>
      </c>
      <c r="T54" s="3">
        <f t="shared" si="6"/>
        <v>2</v>
      </c>
      <c r="U54" s="3">
        <f t="shared" si="7"/>
        <v>5200</v>
      </c>
    </row>
    <row r="55" spans="1:21" x14ac:dyDescent="0.2">
      <c r="A55" s="1" t="s">
        <v>31</v>
      </c>
      <c r="B55" s="1" t="s">
        <v>32</v>
      </c>
      <c r="C55" s="2">
        <v>45066</v>
      </c>
      <c r="D55" s="2">
        <v>45078</v>
      </c>
      <c r="E55" s="2">
        <v>45085</v>
      </c>
      <c r="F55" s="1" t="s">
        <v>33</v>
      </c>
      <c r="G55" s="1">
        <v>430</v>
      </c>
      <c r="H55" s="1">
        <v>12</v>
      </c>
      <c r="I55" s="1" t="s">
        <v>34</v>
      </c>
      <c r="J55" s="1" t="s">
        <v>25</v>
      </c>
      <c r="K55" s="1" t="s">
        <v>26</v>
      </c>
      <c r="L55" s="1">
        <v>85</v>
      </c>
      <c r="M55" s="1">
        <v>8200</v>
      </c>
      <c r="N55" s="3">
        <f t="shared" si="0"/>
        <v>19</v>
      </c>
      <c r="O55" s="3">
        <f t="shared" si="1"/>
        <v>7</v>
      </c>
      <c r="P55" s="3" t="str">
        <f t="shared" si="2"/>
        <v>Yes</v>
      </c>
      <c r="Q55" s="3">
        <f t="shared" si="3"/>
        <v>7</v>
      </c>
      <c r="R55" s="3">
        <f t="shared" si="4"/>
        <v>36550</v>
      </c>
      <c r="S55" s="3">
        <f t="shared" si="5"/>
        <v>0</v>
      </c>
      <c r="T55" s="3">
        <f t="shared" si="6"/>
        <v>4</v>
      </c>
      <c r="U55" s="3">
        <f t="shared" si="7"/>
        <v>57400</v>
      </c>
    </row>
    <row r="56" spans="1:21" x14ac:dyDescent="0.2">
      <c r="A56" s="1" t="s">
        <v>21</v>
      </c>
      <c r="B56" s="1" t="s">
        <v>22</v>
      </c>
      <c r="C56" s="2">
        <v>45068</v>
      </c>
      <c r="D56" s="2">
        <v>45088</v>
      </c>
      <c r="E56" s="2">
        <v>45093</v>
      </c>
      <c r="F56" s="1" t="s">
        <v>23</v>
      </c>
      <c r="G56" s="1">
        <v>1280</v>
      </c>
      <c r="H56" s="1">
        <v>20</v>
      </c>
      <c r="I56" s="1" t="s">
        <v>24</v>
      </c>
      <c r="J56" s="1" t="s">
        <v>25</v>
      </c>
      <c r="K56" s="1" t="s">
        <v>26</v>
      </c>
      <c r="L56" s="1">
        <v>45</v>
      </c>
      <c r="M56" s="1">
        <v>9500</v>
      </c>
      <c r="N56" s="3">
        <f t="shared" si="0"/>
        <v>25</v>
      </c>
      <c r="O56" s="3">
        <f t="shared" si="1"/>
        <v>5</v>
      </c>
      <c r="P56" s="3" t="str">
        <f t="shared" si="2"/>
        <v>Yes</v>
      </c>
      <c r="Q56" s="3">
        <f t="shared" si="3"/>
        <v>5</v>
      </c>
      <c r="R56" s="3">
        <f t="shared" si="4"/>
        <v>57600</v>
      </c>
      <c r="S56" s="3">
        <f t="shared" si="5"/>
        <v>0</v>
      </c>
      <c r="T56" s="3">
        <f t="shared" si="6"/>
        <v>3</v>
      </c>
      <c r="U56" s="3">
        <f t="shared" si="7"/>
        <v>47500</v>
      </c>
    </row>
    <row r="57" spans="1:21" x14ac:dyDescent="0.2">
      <c r="A57" s="1" t="s">
        <v>79</v>
      </c>
      <c r="B57" s="1" t="s">
        <v>28</v>
      </c>
      <c r="C57" s="2">
        <v>45071</v>
      </c>
      <c r="D57" s="2">
        <v>45086</v>
      </c>
      <c r="E57" s="2">
        <v>45085</v>
      </c>
      <c r="F57" s="1" t="s">
        <v>41</v>
      </c>
      <c r="G57" s="1">
        <v>360</v>
      </c>
      <c r="H57" s="1">
        <v>15</v>
      </c>
      <c r="I57" s="1" t="s">
        <v>30</v>
      </c>
      <c r="J57" s="1" t="s">
        <v>25</v>
      </c>
      <c r="K57" s="1" t="s">
        <v>26</v>
      </c>
      <c r="L57" s="1">
        <v>299</v>
      </c>
      <c r="M57" s="1">
        <v>14750</v>
      </c>
      <c r="N57" s="3">
        <f t="shared" si="0"/>
        <v>14</v>
      </c>
      <c r="O57" s="3">
        <f t="shared" si="1"/>
        <v>-1</v>
      </c>
      <c r="P57" s="3" t="str">
        <f t="shared" si="2"/>
        <v>No</v>
      </c>
      <c r="Q57" s="3">
        <f t="shared" si="3"/>
        <v>0</v>
      </c>
      <c r="R57" s="3">
        <f t="shared" si="4"/>
        <v>107640</v>
      </c>
      <c r="S57" s="3">
        <f t="shared" si="5"/>
        <v>1</v>
      </c>
      <c r="T57" s="3">
        <f t="shared" si="6"/>
        <v>0</v>
      </c>
      <c r="U57" s="3">
        <f t="shared" si="7"/>
        <v>0</v>
      </c>
    </row>
    <row r="58" spans="1:21" x14ac:dyDescent="0.2">
      <c r="A58" s="1" t="s">
        <v>80</v>
      </c>
      <c r="B58" s="1" t="s">
        <v>32</v>
      </c>
      <c r="C58" s="2">
        <v>45074</v>
      </c>
      <c r="D58" s="2">
        <v>45084</v>
      </c>
      <c r="E58" s="2">
        <v>45083</v>
      </c>
      <c r="F58" s="1" t="s">
        <v>36</v>
      </c>
      <c r="G58" s="1">
        <v>590</v>
      </c>
      <c r="H58" s="1">
        <v>10</v>
      </c>
      <c r="I58" s="1" t="s">
        <v>30</v>
      </c>
      <c r="J58" s="1" t="s">
        <v>25</v>
      </c>
      <c r="K58" s="1" t="s">
        <v>26</v>
      </c>
      <c r="L58" s="1">
        <v>225</v>
      </c>
      <c r="M58" s="1">
        <v>12200</v>
      </c>
      <c r="N58" s="3">
        <f t="shared" si="0"/>
        <v>9</v>
      </c>
      <c r="O58" s="3">
        <f t="shared" si="1"/>
        <v>-1</v>
      </c>
      <c r="P58" s="3" t="str">
        <f t="shared" si="2"/>
        <v>No</v>
      </c>
      <c r="Q58" s="3">
        <f t="shared" si="3"/>
        <v>0</v>
      </c>
      <c r="R58" s="3">
        <f t="shared" si="4"/>
        <v>132750</v>
      </c>
      <c r="S58" s="3">
        <f t="shared" si="5"/>
        <v>1</v>
      </c>
      <c r="T58" s="3">
        <f t="shared" si="6"/>
        <v>0</v>
      </c>
      <c r="U58" s="3">
        <f t="shared" si="7"/>
        <v>0</v>
      </c>
    </row>
    <row r="59" spans="1:21" x14ac:dyDescent="0.2">
      <c r="A59" s="1" t="s">
        <v>81</v>
      </c>
      <c r="B59" s="1" t="s">
        <v>22</v>
      </c>
      <c r="C59" s="2">
        <v>45078</v>
      </c>
      <c r="D59" s="2">
        <v>45098</v>
      </c>
      <c r="E59" s="2">
        <v>45108</v>
      </c>
      <c r="F59" s="1" t="s">
        <v>33</v>
      </c>
      <c r="G59" s="1">
        <v>540</v>
      </c>
      <c r="H59" s="1">
        <v>20</v>
      </c>
      <c r="I59" s="1" t="s">
        <v>24</v>
      </c>
      <c r="J59" s="1" t="s">
        <v>26</v>
      </c>
      <c r="K59" s="1" t="s">
        <v>26</v>
      </c>
      <c r="L59" s="1">
        <v>86</v>
      </c>
      <c r="M59" s="1">
        <v>8300</v>
      </c>
      <c r="N59" s="3">
        <f t="shared" si="0"/>
        <v>30</v>
      </c>
      <c r="O59" s="3">
        <f t="shared" si="1"/>
        <v>10</v>
      </c>
      <c r="P59" s="3" t="str">
        <f t="shared" si="2"/>
        <v>Yes</v>
      </c>
      <c r="Q59" s="3">
        <f t="shared" si="3"/>
        <v>10</v>
      </c>
      <c r="R59" s="3">
        <f t="shared" si="4"/>
        <v>46440</v>
      </c>
      <c r="S59" s="3">
        <f t="shared" si="5"/>
        <v>0</v>
      </c>
      <c r="T59" s="3">
        <f t="shared" si="6"/>
        <v>8.5</v>
      </c>
      <c r="U59" s="3">
        <f t="shared" si="7"/>
        <v>83000</v>
      </c>
    </row>
    <row r="60" spans="1:21" x14ac:dyDescent="0.2">
      <c r="A60" s="1" t="s">
        <v>82</v>
      </c>
      <c r="B60" s="1" t="s">
        <v>28</v>
      </c>
      <c r="C60" s="2">
        <v>45080</v>
      </c>
      <c r="D60" s="2">
        <v>45090</v>
      </c>
      <c r="E60" s="2">
        <v>45092</v>
      </c>
      <c r="F60" s="1" t="s">
        <v>42</v>
      </c>
      <c r="G60" s="1">
        <v>700</v>
      </c>
      <c r="H60" s="1">
        <v>10</v>
      </c>
      <c r="I60" s="1" t="s">
        <v>34</v>
      </c>
      <c r="J60" s="1" t="s">
        <v>25</v>
      </c>
      <c r="K60" s="1" t="s">
        <v>25</v>
      </c>
      <c r="L60" s="1">
        <v>71</v>
      </c>
      <c r="M60" s="1">
        <v>4550</v>
      </c>
      <c r="N60" s="3">
        <f t="shared" si="0"/>
        <v>12</v>
      </c>
      <c r="O60" s="3">
        <f t="shared" si="1"/>
        <v>2</v>
      </c>
      <c r="P60" s="3" t="str">
        <f t="shared" si="2"/>
        <v>Yes</v>
      </c>
      <c r="Q60" s="3">
        <f t="shared" si="3"/>
        <v>2</v>
      </c>
      <c r="R60" s="3">
        <f t="shared" si="4"/>
        <v>49700</v>
      </c>
      <c r="S60" s="3">
        <f t="shared" si="5"/>
        <v>0</v>
      </c>
      <c r="T60" s="3">
        <f t="shared" si="6"/>
        <v>1</v>
      </c>
      <c r="U60" s="3">
        <f t="shared" si="7"/>
        <v>4550</v>
      </c>
    </row>
    <row r="61" spans="1:21" x14ac:dyDescent="0.2">
      <c r="A61" s="1" t="s">
        <v>83</v>
      </c>
      <c r="B61" s="1" t="s">
        <v>32</v>
      </c>
      <c r="C61" s="2">
        <v>45082</v>
      </c>
      <c r="D61" s="2">
        <v>45097</v>
      </c>
      <c r="E61" s="2">
        <v>45096</v>
      </c>
      <c r="F61" s="1" t="s">
        <v>29</v>
      </c>
      <c r="G61" s="1">
        <v>850</v>
      </c>
      <c r="H61" s="1">
        <v>15</v>
      </c>
      <c r="I61" s="1" t="s">
        <v>30</v>
      </c>
      <c r="J61" s="1" t="s">
        <v>25</v>
      </c>
      <c r="K61" s="1" t="s">
        <v>25</v>
      </c>
      <c r="L61" s="1">
        <v>123</v>
      </c>
      <c r="M61" s="1">
        <v>3700</v>
      </c>
      <c r="N61" s="3">
        <f t="shared" si="0"/>
        <v>14</v>
      </c>
      <c r="O61" s="3">
        <f t="shared" si="1"/>
        <v>-1</v>
      </c>
      <c r="P61" s="3" t="str">
        <f t="shared" si="2"/>
        <v>No</v>
      </c>
      <c r="Q61" s="3">
        <f t="shared" si="3"/>
        <v>0</v>
      </c>
      <c r="R61" s="3">
        <f t="shared" si="4"/>
        <v>104550</v>
      </c>
      <c r="S61" s="3">
        <f t="shared" si="5"/>
        <v>1</v>
      </c>
      <c r="T61" s="3">
        <f t="shared" si="6"/>
        <v>0</v>
      </c>
      <c r="U61" s="3">
        <f t="shared" si="7"/>
        <v>0</v>
      </c>
    </row>
    <row r="62" spans="1:21" x14ac:dyDescent="0.2">
      <c r="A62" s="1" t="s">
        <v>84</v>
      </c>
      <c r="B62" s="1" t="s">
        <v>22</v>
      </c>
      <c r="C62" s="2">
        <v>45085</v>
      </c>
      <c r="D62" s="2">
        <v>45105</v>
      </c>
      <c r="E62" s="2">
        <v>45112</v>
      </c>
      <c r="F62" s="1" t="s">
        <v>23</v>
      </c>
      <c r="G62" s="1">
        <v>1380</v>
      </c>
      <c r="H62" s="1">
        <v>20</v>
      </c>
      <c r="I62" s="1" t="s">
        <v>24</v>
      </c>
      <c r="J62" s="1" t="s">
        <v>25</v>
      </c>
      <c r="K62" s="1" t="s">
        <v>26</v>
      </c>
      <c r="L62" s="1">
        <v>49</v>
      </c>
      <c r="M62" s="1">
        <v>9250</v>
      </c>
      <c r="N62" s="3">
        <f t="shared" si="0"/>
        <v>27</v>
      </c>
      <c r="O62" s="3">
        <f t="shared" si="1"/>
        <v>7</v>
      </c>
      <c r="P62" s="3" t="str">
        <f t="shared" si="2"/>
        <v>Yes</v>
      </c>
      <c r="Q62" s="3">
        <f t="shared" si="3"/>
        <v>7</v>
      </c>
      <c r="R62" s="3">
        <f t="shared" si="4"/>
        <v>67620</v>
      </c>
      <c r="S62" s="3">
        <f t="shared" si="5"/>
        <v>0</v>
      </c>
      <c r="T62" s="3">
        <f t="shared" si="6"/>
        <v>4</v>
      </c>
      <c r="U62" s="3">
        <f t="shared" si="7"/>
        <v>64750</v>
      </c>
    </row>
    <row r="63" spans="1:21" x14ac:dyDescent="0.2">
      <c r="A63" s="1" t="s">
        <v>85</v>
      </c>
      <c r="B63" s="1" t="s">
        <v>28</v>
      </c>
      <c r="C63" s="2">
        <v>45087</v>
      </c>
      <c r="D63" s="2">
        <v>45102</v>
      </c>
      <c r="E63" s="2">
        <v>45105</v>
      </c>
      <c r="F63" s="1" t="s">
        <v>41</v>
      </c>
      <c r="G63" s="1">
        <v>320</v>
      </c>
      <c r="H63" s="1">
        <v>15</v>
      </c>
      <c r="I63" s="1" t="s">
        <v>34</v>
      </c>
      <c r="J63" s="1" t="s">
        <v>25</v>
      </c>
      <c r="K63" s="1" t="s">
        <v>26</v>
      </c>
      <c r="L63" s="1">
        <v>301</v>
      </c>
      <c r="M63" s="1">
        <v>14800</v>
      </c>
      <c r="N63" s="3">
        <f t="shared" si="0"/>
        <v>18</v>
      </c>
      <c r="O63" s="3">
        <f t="shared" si="1"/>
        <v>3</v>
      </c>
      <c r="P63" s="3" t="str">
        <f t="shared" si="2"/>
        <v>Yes</v>
      </c>
      <c r="Q63" s="3">
        <f t="shared" si="3"/>
        <v>3</v>
      </c>
      <c r="R63" s="3">
        <f t="shared" si="4"/>
        <v>96320</v>
      </c>
      <c r="S63" s="3">
        <f t="shared" si="5"/>
        <v>0</v>
      </c>
      <c r="T63" s="3">
        <f t="shared" si="6"/>
        <v>2</v>
      </c>
      <c r="U63" s="3">
        <f t="shared" si="7"/>
        <v>44400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 Data</vt:lpstr>
      <vt:lpstr>Solution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2025-12-24T22:03:32Z</dcterms:modified>
</cp:coreProperties>
</file>